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faalkansbeheer/workspace/input/"/>
    </mc:Choice>
  </mc:AlternateContent>
  <xr:revisionPtr revIDLastSave="133" documentId="11_7F8537C0EFDAAB2C4D3AD24F148AD46E27C48B19" xr6:coauthVersionLast="47" xr6:coauthVersionMax="47" xr10:uidLastSave="{D525DB24-D2A3-469D-924D-213BD7654D72}"/>
  <bookViews>
    <workbookView xWindow="28680" yWindow="-120" windowWidth="29040" windowHeight="15720" tabRatio="500" xr2:uid="{00000000-000D-0000-FFFF-FFFF00000000}"/>
  </bookViews>
  <sheets>
    <sheet name="componenten" sheetId="1" r:id="rId1"/>
    <sheet name="faalmechanis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G2" i="1"/>
  <c r="D3" i="1"/>
  <c r="G3" i="1"/>
  <c r="D4" i="1"/>
  <c r="G4" i="1"/>
  <c r="D5" i="1"/>
  <c r="G5" i="1"/>
  <c r="D6" i="1"/>
  <c r="G6" i="1"/>
  <c r="D7" i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D37" i="1"/>
  <c r="G37" i="1"/>
  <c r="D38" i="1"/>
  <c r="G38" i="1"/>
  <c r="D39" i="1"/>
  <c r="G39" i="1"/>
  <c r="D40" i="1"/>
  <c r="G40" i="1"/>
  <c r="D41" i="1"/>
  <c r="G41" i="1"/>
  <c r="D42" i="1"/>
  <c r="G42" i="1"/>
  <c r="D43" i="1"/>
  <c r="G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52" i="1"/>
  <c r="G52" i="1"/>
  <c r="D53" i="1"/>
  <c r="G53" i="1"/>
  <c r="D54" i="1"/>
  <c r="G54" i="1"/>
  <c r="D55" i="1"/>
  <c r="G55" i="1"/>
  <c r="D56" i="1"/>
  <c r="G56" i="1"/>
  <c r="D57" i="1"/>
  <c r="G57" i="1"/>
  <c r="D58" i="1"/>
  <c r="G58" i="1"/>
  <c r="D59" i="1"/>
  <c r="G59" i="1"/>
  <c r="D60" i="1"/>
  <c r="G60" i="1"/>
  <c r="D61" i="1"/>
  <c r="G61" i="1"/>
  <c r="D62" i="1"/>
  <c r="G62" i="1"/>
  <c r="D63" i="1"/>
  <c r="G63" i="1"/>
  <c r="D64" i="1"/>
  <c r="G64" i="1"/>
  <c r="D65" i="1"/>
  <c r="G65" i="1"/>
  <c r="D66" i="1"/>
  <c r="G66" i="1"/>
  <c r="D67" i="1"/>
  <c r="G67" i="1"/>
  <c r="D68" i="1"/>
  <c r="G68" i="1"/>
  <c r="D69" i="1"/>
  <c r="G69" i="1"/>
</calcChain>
</file>

<file path=xl/sharedStrings.xml><?xml version="1.0" encoding="utf-8"?>
<sst xmlns="http://schemas.openxmlformats.org/spreadsheetml/2006/main" count="235" uniqueCount="127">
  <si>
    <t>dijktraject</t>
  </si>
  <si>
    <t>m_van</t>
  </si>
  <si>
    <t>m_tot</t>
  </si>
  <si>
    <t>Vaknaam</t>
  </si>
  <si>
    <t>id_initieel_mechanisme</t>
  </si>
  <si>
    <t>initieel_mechanisme</t>
  </si>
  <si>
    <t>a</t>
  </si>
  <si>
    <t>pf_dsn</t>
  </si>
  <si>
    <t>invloedsfactor_belasting</t>
  </si>
  <si>
    <t>id</t>
  </si>
  <si>
    <t>Aanzet_tot_falen</t>
  </si>
  <si>
    <t>Initieel_mechanisme</t>
  </si>
  <si>
    <t>Afk_faalmechanisme</t>
  </si>
  <si>
    <t>delta_L</t>
  </si>
  <si>
    <t>type_assemblage_tussen_vakken</t>
  </si>
  <si>
    <t>type_assemblage_binnen_vak</t>
  </si>
  <si>
    <t>rho_nul_k</t>
  </si>
  <si>
    <t>d_k</t>
  </si>
  <si>
    <t>Golfaanval op het buitentalud</t>
  </si>
  <si>
    <t>Falen asfaltbekleding door golfklappen</t>
  </si>
  <si>
    <t>AGK</t>
  </si>
  <si>
    <t>MAX</t>
  </si>
  <si>
    <t>Falen asfaltbekleding door wateroverdruk</t>
  </si>
  <si>
    <t>AWO</t>
  </si>
  <si>
    <t>Erosie van grasbekleding</t>
  </si>
  <si>
    <t>GEBU</t>
  </si>
  <si>
    <t>Afschuiving van grasbekleding</t>
  </si>
  <si>
    <t>GABU</t>
  </si>
  <si>
    <t>Instabiliteit steenzetting</t>
  </si>
  <si>
    <t>ZST</t>
  </si>
  <si>
    <t>Water dat over de waterkering stroomt</t>
  </si>
  <si>
    <t>Afschuiven grasbekleding binnentalud</t>
  </si>
  <si>
    <t>GABI</t>
  </si>
  <si>
    <t>Erosie kruin en binnentalud</t>
  </si>
  <si>
    <t>GEKB</t>
  </si>
  <si>
    <t>Hoge waterspanningen in en onder de waterkering</t>
  </si>
  <si>
    <t>Piping</t>
  </si>
  <si>
    <t>STPH</t>
  </si>
  <si>
    <t>SOM</t>
  </si>
  <si>
    <t>Binnenwaartse macro-instabiliteit</t>
  </si>
  <si>
    <t>STBI</t>
  </si>
  <si>
    <t>Micro-instabiliteit</t>
  </si>
  <si>
    <t>STMI</t>
  </si>
  <si>
    <t>Buitenwaartse macro-instabiliteit (indirect)</t>
  </si>
  <si>
    <t>STBU</t>
  </si>
  <si>
    <t>Waterkerend Kunstwerk faalt</t>
  </si>
  <si>
    <t>Hoogte kunstwerk</t>
  </si>
  <si>
    <t>HTKW</t>
  </si>
  <si>
    <t>Betrouwbaarheid sluiting Kunstwerk</t>
  </si>
  <si>
    <t>BSKW</t>
  </si>
  <si>
    <t>Piping bij kunstwerk</t>
  </si>
  <si>
    <t>STPHKW</t>
  </si>
  <si>
    <t>Sterkte en stabiliteit constructie</t>
  </si>
  <si>
    <t>STKW</t>
  </si>
  <si>
    <t>Zandige waterkering faalt</t>
  </si>
  <si>
    <t>Duinafslag</t>
  </si>
  <si>
    <t>DA</t>
  </si>
  <si>
    <t>16-1</t>
  </si>
  <si>
    <t>vak_lengte</t>
  </si>
  <si>
    <t>TG438.+000-AW380.+165</t>
  </si>
  <si>
    <t>AW380.+165-AW380.+169</t>
  </si>
  <si>
    <t>AW380.+169-AW380.+199</t>
  </si>
  <si>
    <t>AW380.+199-AW380.+209</t>
  </si>
  <si>
    <t>AW380.+209-AW380.+225</t>
  </si>
  <si>
    <t>AW380.+225-AW383.+039</t>
  </si>
  <si>
    <t>AW383.+039-AW383.+048</t>
  </si>
  <si>
    <t>AW383.+048-AW383.+078</t>
  </si>
  <si>
    <t>AW383.+078-AW383.+085</t>
  </si>
  <si>
    <t>AW383.+085-AW383.+173</t>
  </si>
  <si>
    <t>AW383.+173-AW384.+077</t>
  </si>
  <si>
    <t>AW384.+077-AW384.+138</t>
  </si>
  <si>
    <t>AW384.+138-AW386.+111</t>
  </si>
  <si>
    <t>AW386.+111-AW386.+161</t>
  </si>
  <si>
    <t>AW386.+161-BG000.+003</t>
  </si>
  <si>
    <t>BG000.+003-BG000.+109</t>
  </si>
  <si>
    <t>BG000.+109-BG000.+344</t>
  </si>
  <si>
    <t>BG000.+344-AW391.+067</t>
  </si>
  <si>
    <t>AW391.+067-AW393.+019</t>
  </si>
  <si>
    <t>AW393.+019-KS100.+027</t>
  </si>
  <si>
    <t>KS100.+027-KS100.+133</t>
  </si>
  <si>
    <t>KS100.+133-KS100.+812</t>
  </si>
  <si>
    <t>KS100.+812-AW397.+035</t>
  </si>
  <si>
    <t>AW397.+035-AW399.+027</t>
  </si>
  <si>
    <t>AW399.+027-AW400.+148</t>
  </si>
  <si>
    <t>AW400.+148-AW402.+042</t>
  </si>
  <si>
    <t>AW402.+042-AW403.+036</t>
  </si>
  <si>
    <t>AW403.+036-AW000.+196</t>
  </si>
  <si>
    <t>AW000.+196-AW001.+004</t>
  </si>
  <si>
    <t>AW001.+004-AW002.+091</t>
  </si>
  <si>
    <t>AW002.+091-AW004.+009</t>
  </si>
  <si>
    <t>AW004.+009-AW005.+040</t>
  </si>
  <si>
    <t>AW005.+040-AW006.+136</t>
  </si>
  <si>
    <t>AW006.+136-AW007.+201</t>
  </si>
  <si>
    <t>AW007.+201-AW008.+166</t>
  </si>
  <si>
    <t>AW008.+166-AW009.+141</t>
  </si>
  <si>
    <t>AW009.+141-AW010.+044</t>
  </si>
  <si>
    <t>AW010.+044-AW011.+176</t>
  </si>
  <si>
    <t>AW011.+176-AW013.+150</t>
  </si>
  <si>
    <t>AW013.+150-AW014.+033</t>
  </si>
  <si>
    <t>AW014.+033-AW015.+147</t>
  </si>
  <si>
    <t>AW015.+147-AW017.+062</t>
  </si>
  <si>
    <t>AW017.+062-AW018.+111</t>
  </si>
  <si>
    <t>AW018.+111-AW019.+165</t>
  </si>
  <si>
    <t>AW019.+165-AW020.+166</t>
  </si>
  <si>
    <t>AW020.+166-AW022.+022</t>
  </si>
  <si>
    <t>AW022.+022-AW023.+135</t>
  </si>
  <si>
    <t>AW023.+135-AW024.+107</t>
  </si>
  <si>
    <t>AW024.+107-AW026.+055</t>
  </si>
  <si>
    <t>AW026.+055-AW027.+115</t>
  </si>
  <si>
    <t>AW027.+115-AW028.+164</t>
  </si>
  <si>
    <t>AW028.+164-KS153.+000</t>
  </si>
  <si>
    <t>KS153.+000-KS153.+034</t>
  </si>
  <si>
    <t>KS153.+034-KS153.+050</t>
  </si>
  <si>
    <t>KS153.+050-AW030.+165</t>
  </si>
  <si>
    <t>AW030.+165-AW032.+123</t>
  </si>
  <si>
    <t>AW032.+123-AW033.+097</t>
  </si>
  <si>
    <t>AW033.+097-AW033.+188</t>
  </si>
  <si>
    <t>AW033.+188-AW033.+200</t>
  </si>
  <si>
    <t>AW033.+200-AW034.+067</t>
  </si>
  <si>
    <t>AW034.+067-AW035.+063</t>
  </si>
  <si>
    <t>AW035.+063-AW037.+049</t>
  </si>
  <si>
    <t>AW037.+049-AW039.+054</t>
  </si>
  <si>
    <t>AW039.+054-AW043.+009</t>
  </si>
  <si>
    <t>AW043.+009-AW043.+015</t>
  </si>
  <si>
    <t>AW043.+015-AW043.+029</t>
  </si>
  <si>
    <t>AW043.+029-AW047.+051</t>
  </si>
  <si>
    <t>AW047.+051-AW051.+064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</si>
</sst>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quotePrefix="1" applyNumberFormat="1"/>
  </cellXfs>
  <cellStyles count="1">
    <cellStyle name="Standaard" xfId="0" builtinId="0"/>
  </cellStyles>
  <dxfs count="2">
    <dxf>
      <numFmt numFmtId="15" formatCode="0.00E+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EFB09-9E88-4253-A8CA-93BA5174B62B}" name="Componenten" displayName="Componenten" ref="A1:J69" totalsRowShown="0">
  <autoFilter ref="A1:J69" xr:uid="{480EFB09-9E88-4253-A8CA-93BA5174B62B}"/>
  <tableColumns count="10">
    <tableColumn id="1" xr3:uid="{162D90D6-7897-4D94-BC3A-AFF49D1FE0BD}" name="dijktraject"/>
    <tableColumn id="2" xr3:uid="{E19D547F-1FBA-4F7C-873D-F95FE633D228}" name="m_van"/>
    <tableColumn id="3" xr3:uid="{F72D3950-2A3E-406E-94A8-F346FD633A35}" name="m_tot"/>
    <tableColumn id="4" xr3:uid="{F25C1817-9F13-43E7-908B-E688C21A84C3}" name="vak_lengte">
      <calculatedColumnFormula>C2-B2</calculatedColumnFormula>
    </tableColumn>
    <tableColumn id="5" xr3:uid="{31FEC05D-4809-453F-A8FE-9E6F21E272CD}" name="Vaknaam"/>
    <tableColumn id="6" xr3:uid="{46F6751B-BC9F-4BAB-9052-0B087F9C73D8}" name="id_initieel_mechanisme"/>
    <tableColumn id="7" xr3:uid="{9F370C09-92F1-42B1-9433-A1497A6471FC}" name="initieel_mechanisme" dataDxfId="1">
      <calculatedColumnFormula>LOOKUP(Componenten[[#This Row],[id_initieel_mechanisme]],Faalmechanismen[id],Faalmechanismen[Initieel_mechanisme])</calculatedColumnFormula>
    </tableColumn>
    <tableColumn id="8" xr3:uid="{B417D874-26F1-47E6-ABD9-46857DF4E8F2}" name="a"/>
    <tableColumn id="9" xr3:uid="{34E089A3-EE47-46D1-9A0C-75E12EACE4FF}" name="pf_dsn"/>
    <tableColumn id="10" xr3:uid="{F36F6D30-93E5-4FA8-998D-FDC12F800AEB}" name="invloedsfactor_belasting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4CA82-43C6-494A-A3AA-2FD9168E715A}" name="Faalmechanismen" displayName="Faalmechanismen" ref="A1:I17" totalsRowShown="0">
  <autoFilter ref="A1:I17" xr:uid="{D074CA82-43C6-494A-A3AA-2FD9168E715A}"/>
  <tableColumns count="9">
    <tableColumn id="1" xr3:uid="{F4710955-CEBC-4546-B706-1283DEADC57A}" name="id"/>
    <tableColumn id="2" xr3:uid="{47B0ADF5-72B4-4D54-BBB8-D01F08EE383A}" name="Aanzet_tot_falen"/>
    <tableColumn id="3" xr3:uid="{EDBB43B1-BF57-4A45-BB5F-576F1A1F06C1}" name="Initieel_mechanisme"/>
    <tableColumn id="4" xr3:uid="{EA413605-A280-4D0E-AA0C-ED8A9E00A31B}" name="Afk_faalmechanisme"/>
    <tableColumn id="5" xr3:uid="{3F792EEE-AA7C-4D8C-AE16-BE880EDCE1F5}" name="delta_L"/>
    <tableColumn id="6" xr3:uid="{2318B872-457A-4853-8136-9D709AE20C52}" name="type_assemblage_tussen_vakken"/>
    <tableColumn id="7" xr3:uid="{FC126BAA-5C7E-4498-8C52-11FCD8DF105B}" name="type_assemblage_binnen_vak"/>
    <tableColumn id="8" xr3:uid="{028B55AD-82F4-483C-B3E7-896E90FC98E8}" name="rho_nul_k"/>
    <tableColumn id="9" xr3:uid="{5E88240E-D8FD-4072-A516-12730DEA8601}" name="d_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="145" zoomScaleNormal="145" workbookViewId="0">
      <selection activeCell="I2" sqref="I2:I69"/>
    </sheetView>
  </sheetViews>
  <sheetFormatPr defaultColWidth="11.5703125" defaultRowHeight="12.75" customHeight="1" x14ac:dyDescent="0.2"/>
  <cols>
    <col min="1" max="1" width="12.28515625" bestFit="1" customWidth="1"/>
    <col min="2" max="2" width="9.28515625" bestFit="1" customWidth="1"/>
    <col min="3" max="3" width="8.28515625" bestFit="1" customWidth="1"/>
    <col min="4" max="4" width="9" bestFit="1" customWidth="1"/>
    <col min="5" max="5" width="24.140625" bestFit="1" customWidth="1"/>
    <col min="6" max="6" width="25.28515625" bestFit="1" customWidth="1"/>
    <col min="7" max="7" width="31.140625" bestFit="1" customWidth="1"/>
    <col min="8" max="8" width="4.42578125" bestFit="1" customWidth="1"/>
    <col min="9" max="9" width="13.140625" bestFit="1" customWidth="1"/>
    <col min="10" max="10" width="25.7109375" bestFit="1" customWidth="1"/>
    <col min="12" max="12" width="3.28515625" bestFit="1" customWidth="1"/>
    <col min="13" max="13" width="11.28515625" bestFit="1" customWidth="1"/>
    <col min="14" max="15" width="6.42578125" bestFit="1" customWidth="1"/>
    <col min="16" max="16" width="12.85546875" bestFit="1" customWidth="1"/>
    <col min="17" max="17" width="13.140625" bestFit="1" customWidth="1"/>
  </cols>
  <sheetData>
    <row r="1" spans="1:10" ht="12.75" customHeight="1" x14ac:dyDescent="0.2">
      <c r="A1" t="s">
        <v>0</v>
      </c>
      <c r="B1" t="s">
        <v>1</v>
      </c>
      <c r="C1" t="s">
        <v>2</v>
      </c>
      <c r="D1" t="s">
        <v>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2.75" customHeight="1" x14ac:dyDescent="0.2">
      <c r="A2" s="2" t="s">
        <v>57</v>
      </c>
      <c r="B2">
        <v>0</v>
      </c>
      <c r="C2">
        <v>336.97289999999998</v>
      </c>
      <c r="D2">
        <f t="shared" ref="D2:D33" si="0">C2-B2</f>
        <v>336.97289999999998</v>
      </c>
      <c r="E2" t="s">
        <v>59</v>
      </c>
      <c r="F2">
        <v>9</v>
      </c>
      <c r="G2" t="str">
        <f>LOOKUP(Componenten[[#This Row],[id_initieel_mechanisme]],Faalmechanismen[id],Faalmechanismen[Initieel_mechanisme])</f>
        <v>Binnenwaartse macro-instabiliteit</v>
      </c>
      <c r="H2">
        <v>1</v>
      </c>
      <c r="I2" s="1">
        <v>9.9999999999999995E-21</v>
      </c>
      <c r="J2">
        <v>0.6</v>
      </c>
    </row>
    <row r="3" spans="1:10" ht="12.75" customHeight="1" x14ac:dyDescent="0.2">
      <c r="A3" s="2" t="s">
        <v>57</v>
      </c>
      <c r="B3">
        <v>336.97289999999998</v>
      </c>
      <c r="C3">
        <v>341.24709999999999</v>
      </c>
      <c r="D3">
        <f t="shared" si="0"/>
        <v>4.2742000000000075</v>
      </c>
      <c r="E3" t="s">
        <v>60</v>
      </c>
      <c r="F3">
        <v>9</v>
      </c>
      <c r="G3" t="str">
        <f>LOOKUP(Componenten[[#This Row],[id_initieel_mechanisme]],Faalmechanismen[id],Faalmechanismen[Initieel_mechanisme])</f>
        <v>Binnenwaartse macro-instabiliteit</v>
      </c>
      <c r="H3">
        <v>1</v>
      </c>
      <c r="I3" s="1">
        <v>9.9999999999999995E-21</v>
      </c>
      <c r="J3">
        <v>0.6</v>
      </c>
    </row>
    <row r="4" spans="1:10" ht="12.75" customHeight="1" x14ac:dyDescent="0.2">
      <c r="A4" s="2" t="s">
        <v>57</v>
      </c>
      <c r="B4">
        <v>341.24709999999999</v>
      </c>
      <c r="C4">
        <v>371.51740000000001</v>
      </c>
      <c r="D4">
        <f t="shared" si="0"/>
        <v>30.27030000000002</v>
      </c>
      <c r="E4" t="s">
        <v>61</v>
      </c>
      <c r="F4">
        <v>9</v>
      </c>
      <c r="G4" t="str">
        <f>LOOKUP(Componenten[[#This Row],[id_initieel_mechanisme]],Faalmechanismen[id],Faalmechanismen[Initieel_mechanisme])</f>
        <v>Binnenwaartse macro-instabiliteit</v>
      </c>
      <c r="H4">
        <v>1</v>
      </c>
      <c r="I4" s="1">
        <v>9.9999999999999995E-21</v>
      </c>
      <c r="J4">
        <v>0.6</v>
      </c>
    </row>
    <row r="5" spans="1:10" ht="12.75" customHeight="1" x14ac:dyDescent="0.2">
      <c r="A5" s="2" t="s">
        <v>57</v>
      </c>
      <c r="B5">
        <v>371.51740000000001</v>
      </c>
      <c r="C5">
        <v>381.52069999999998</v>
      </c>
      <c r="D5">
        <f t="shared" si="0"/>
        <v>10.003299999999967</v>
      </c>
      <c r="E5" t="s">
        <v>62</v>
      </c>
      <c r="F5">
        <v>9</v>
      </c>
      <c r="G5" t="str">
        <f>LOOKUP(Componenten[[#This Row],[id_initieel_mechanisme]],Faalmechanismen[id],Faalmechanismen[Initieel_mechanisme])</f>
        <v>Binnenwaartse macro-instabiliteit</v>
      </c>
      <c r="H5">
        <v>1</v>
      </c>
      <c r="I5" s="1">
        <v>9.9999999999999995E-21</v>
      </c>
      <c r="J5">
        <v>0.6</v>
      </c>
    </row>
    <row r="6" spans="1:10" ht="12.75" customHeight="1" x14ac:dyDescent="0.2">
      <c r="A6" s="2" t="s">
        <v>57</v>
      </c>
      <c r="B6">
        <v>381.52069999999998</v>
      </c>
      <c r="C6">
        <v>397</v>
      </c>
      <c r="D6">
        <f t="shared" si="0"/>
        <v>15.479300000000023</v>
      </c>
      <c r="E6" t="s">
        <v>63</v>
      </c>
      <c r="F6">
        <v>9</v>
      </c>
      <c r="G6" t="str">
        <f>LOOKUP(Componenten[[#This Row],[id_initieel_mechanisme]],Faalmechanismen[id],Faalmechanismen[Initieel_mechanisme])</f>
        <v>Binnenwaartse macro-instabiliteit</v>
      </c>
      <c r="H6">
        <v>1</v>
      </c>
      <c r="I6" s="1">
        <v>9.9999999999999995E-21</v>
      </c>
      <c r="J6">
        <v>0.6</v>
      </c>
    </row>
    <row r="7" spans="1:10" ht="12.75" customHeight="1" x14ac:dyDescent="0.2">
      <c r="A7" s="2" t="s">
        <v>57</v>
      </c>
      <c r="B7">
        <v>397</v>
      </c>
      <c r="C7">
        <v>809.02949999999998</v>
      </c>
      <c r="D7">
        <f t="shared" si="0"/>
        <v>412.02949999999998</v>
      </c>
      <c r="E7" t="s">
        <v>64</v>
      </c>
      <c r="F7">
        <v>9</v>
      </c>
      <c r="G7" t="str">
        <f>LOOKUP(Componenten[[#This Row],[id_initieel_mechanisme]],Faalmechanismen[id],Faalmechanismen[Initieel_mechanisme])</f>
        <v>Binnenwaartse macro-instabiliteit</v>
      </c>
      <c r="H7">
        <v>1</v>
      </c>
      <c r="I7" s="1">
        <v>9.9999999999999995E-21</v>
      </c>
      <c r="J7">
        <v>0.6</v>
      </c>
    </row>
    <row r="8" spans="1:10" ht="12.75" customHeight="1" x14ac:dyDescent="0.2">
      <c r="A8" s="2" t="s">
        <v>57</v>
      </c>
      <c r="B8">
        <v>809.02949999999998</v>
      </c>
      <c r="C8">
        <v>818.57429999999999</v>
      </c>
      <c r="D8">
        <f t="shared" si="0"/>
        <v>9.5448000000000093</v>
      </c>
      <c r="E8" t="s">
        <v>65</v>
      </c>
      <c r="F8">
        <v>9</v>
      </c>
      <c r="G8" t="str">
        <f>LOOKUP(Componenten[[#This Row],[id_initieel_mechanisme]],Faalmechanismen[id],Faalmechanismen[Initieel_mechanisme])</f>
        <v>Binnenwaartse macro-instabiliteit</v>
      </c>
      <c r="H8">
        <v>1</v>
      </c>
      <c r="I8" s="1">
        <v>9.9999999999999995E-21</v>
      </c>
      <c r="J8">
        <v>0.6</v>
      </c>
    </row>
    <row r="9" spans="1:10" ht="12.75" customHeight="1" x14ac:dyDescent="0.2">
      <c r="A9" s="2" t="s">
        <v>57</v>
      </c>
      <c r="B9">
        <v>818.57429999999999</v>
      </c>
      <c r="C9">
        <v>848.68100000000004</v>
      </c>
      <c r="D9">
        <f t="shared" si="0"/>
        <v>30.106700000000046</v>
      </c>
      <c r="E9" t="s">
        <v>66</v>
      </c>
      <c r="F9">
        <v>9</v>
      </c>
      <c r="G9" t="str">
        <f>LOOKUP(Componenten[[#This Row],[id_initieel_mechanisme]],Faalmechanismen[id],Faalmechanismen[Initieel_mechanisme])</f>
        <v>Binnenwaartse macro-instabiliteit</v>
      </c>
      <c r="H9">
        <v>1</v>
      </c>
      <c r="I9" s="1">
        <v>9.9999999999999995E-21</v>
      </c>
      <c r="J9">
        <v>0.6</v>
      </c>
    </row>
    <row r="10" spans="1:10" ht="12.75" customHeight="1" x14ac:dyDescent="0.2">
      <c r="A10" s="2" t="s">
        <v>57</v>
      </c>
      <c r="B10">
        <v>848.68100000000004</v>
      </c>
      <c r="C10">
        <v>855.46169999999995</v>
      </c>
      <c r="D10">
        <f t="shared" si="0"/>
        <v>6.7806999999999107</v>
      </c>
      <c r="E10" t="s">
        <v>67</v>
      </c>
      <c r="F10">
        <v>9</v>
      </c>
      <c r="G10" t="str">
        <f>LOOKUP(Componenten[[#This Row],[id_initieel_mechanisme]],Faalmechanismen[id],Faalmechanismen[Initieel_mechanisme])</f>
        <v>Binnenwaartse macro-instabiliteit</v>
      </c>
      <c r="H10">
        <v>1</v>
      </c>
      <c r="I10" s="1">
        <v>9.9999999999999995E-21</v>
      </c>
      <c r="J10">
        <v>0.6</v>
      </c>
    </row>
    <row r="11" spans="1:10" ht="12.75" customHeight="1" x14ac:dyDescent="0.2">
      <c r="A11" s="2" t="s">
        <v>57</v>
      </c>
      <c r="B11">
        <v>855.46169999999995</v>
      </c>
      <c r="C11">
        <v>943</v>
      </c>
      <c r="D11">
        <f t="shared" si="0"/>
        <v>87.538300000000049</v>
      </c>
      <c r="E11" t="s">
        <v>68</v>
      </c>
      <c r="F11">
        <v>9</v>
      </c>
      <c r="G11" t="str">
        <f>LOOKUP(Componenten[[#This Row],[id_initieel_mechanisme]],Faalmechanismen[id],Faalmechanismen[Initieel_mechanisme])</f>
        <v>Binnenwaartse macro-instabiliteit</v>
      </c>
      <c r="H11">
        <v>1</v>
      </c>
      <c r="I11">
        <v>9.9999999999999995E-21</v>
      </c>
      <c r="J11">
        <v>0.6</v>
      </c>
    </row>
    <row r="12" spans="1:10" ht="12.75" customHeight="1" x14ac:dyDescent="0.2">
      <c r="A12" s="2" t="s">
        <v>57</v>
      </c>
      <c r="B12">
        <v>943</v>
      </c>
      <c r="C12">
        <v>1070</v>
      </c>
      <c r="D12">
        <f t="shared" si="0"/>
        <v>127</v>
      </c>
      <c r="E12" t="s">
        <v>69</v>
      </c>
      <c r="F12">
        <v>9</v>
      </c>
      <c r="G12" t="str">
        <f>LOOKUP(Componenten[[#This Row],[id_initieel_mechanisme]],Faalmechanismen[id],Faalmechanismen[Initieel_mechanisme])</f>
        <v>Binnenwaartse macro-instabiliteit</v>
      </c>
      <c r="H12">
        <v>1</v>
      </c>
      <c r="I12">
        <v>6.1925169550804601E-9</v>
      </c>
      <c r="J12">
        <v>0.6</v>
      </c>
    </row>
    <row r="13" spans="1:10" ht="12.75" customHeight="1" x14ac:dyDescent="0.2">
      <c r="A13" s="2" t="s">
        <v>57</v>
      </c>
      <c r="B13">
        <v>1070</v>
      </c>
      <c r="C13">
        <v>1131</v>
      </c>
      <c r="D13">
        <f t="shared" si="0"/>
        <v>61</v>
      </c>
      <c r="E13" t="s">
        <v>70</v>
      </c>
      <c r="F13">
        <v>9</v>
      </c>
      <c r="G13" t="str">
        <f>LOOKUP(Componenten[[#This Row],[id_initieel_mechanisme]],Faalmechanismen[id],Faalmechanismen[Initieel_mechanisme])</f>
        <v>Binnenwaartse macro-instabiliteit</v>
      </c>
      <c r="H13">
        <v>1</v>
      </c>
      <c r="I13">
        <v>8.3104795146679968E-5</v>
      </c>
      <c r="J13">
        <v>0.6</v>
      </c>
    </row>
    <row r="14" spans="1:10" ht="12.75" customHeight="1" x14ac:dyDescent="0.2">
      <c r="A14" s="2" t="s">
        <v>57</v>
      </c>
      <c r="B14">
        <v>1131</v>
      </c>
      <c r="C14">
        <v>1541</v>
      </c>
      <c r="D14">
        <f t="shared" si="0"/>
        <v>410</v>
      </c>
      <c r="E14" t="s">
        <v>71</v>
      </c>
      <c r="F14">
        <v>9</v>
      </c>
      <c r="G14" t="str">
        <f>LOOKUP(Componenten[[#This Row],[id_initieel_mechanisme]],Faalmechanismen[id],Faalmechanismen[Initieel_mechanisme])</f>
        <v>Binnenwaartse macro-instabiliteit</v>
      </c>
      <c r="H14">
        <v>1</v>
      </c>
      <c r="I14">
        <v>9.8590743906599079E-7</v>
      </c>
      <c r="J14">
        <v>0.6</v>
      </c>
    </row>
    <row r="15" spans="1:10" ht="12.75" customHeight="1" x14ac:dyDescent="0.2">
      <c r="A15" s="2" t="s">
        <v>57</v>
      </c>
      <c r="B15">
        <v>1541</v>
      </c>
      <c r="C15">
        <v>1591</v>
      </c>
      <c r="D15">
        <f t="shared" si="0"/>
        <v>50</v>
      </c>
      <c r="E15" t="s">
        <v>72</v>
      </c>
      <c r="F15">
        <v>9</v>
      </c>
      <c r="G15" t="str">
        <f>LOOKUP(Componenten[[#This Row],[id_initieel_mechanisme]],Faalmechanismen[id],Faalmechanismen[Initieel_mechanisme])</f>
        <v>Binnenwaartse macro-instabiliteit</v>
      </c>
      <c r="H15">
        <v>1</v>
      </c>
      <c r="I15">
        <v>9.8590743906599079E-7</v>
      </c>
      <c r="J15">
        <v>0.6</v>
      </c>
    </row>
    <row r="16" spans="1:10" ht="12.75" customHeight="1" x14ac:dyDescent="0.2">
      <c r="A16" s="2" t="s">
        <v>57</v>
      </c>
      <c r="B16">
        <v>1591</v>
      </c>
      <c r="C16">
        <v>1813.3839</v>
      </c>
      <c r="D16">
        <f t="shared" si="0"/>
        <v>222.38390000000004</v>
      </c>
      <c r="E16" t="s">
        <v>73</v>
      </c>
      <c r="F16">
        <v>9</v>
      </c>
      <c r="G16" t="str">
        <f>LOOKUP(Componenten[[#This Row],[id_initieel_mechanisme]],Faalmechanismen[id],Faalmechanismen[Initieel_mechanisme])</f>
        <v>Binnenwaartse macro-instabiliteit</v>
      </c>
      <c r="H16">
        <v>1</v>
      </c>
      <c r="I16">
        <v>9.8590743906599079E-7</v>
      </c>
      <c r="J16">
        <v>0.6</v>
      </c>
    </row>
    <row r="17" spans="1:10" ht="12.75" customHeight="1" x14ac:dyDescent="0.2">
      <c r="A17" s="2" t="s">
        <v>57</v>
      </c>
      <c r="B17">
        <v>1813.3839</v>
      </c>
      <c r="C17">
        <v>1918.9345000000001</v>
      </c>
      <c r="D17">
        <f t="shared" si="0"/>
        <v>105.55060000000003</v>
      </c>
      <c r="E17" t="s">
        <v>74</v>
      </c>
      <c r="F17">
        <v>9</v>
      </c>
      <c r="G17" t="str">
        <f>LOOKUP(Componenten[[#This Row],[id_initieel_mechanisme]],Faalmechanismen[id],Faalmechanismen[Initieel_mechanisme])</f>
        <v>Binnenwaartse macro-instabiliteit</v>
      </c>
      <c r="H17">
        <v>1</v>
      </c>
      <c r="I17">
        <v>9.9999999999999995E-21</v>
      </c>
      <c r="J17">
        <v>0.6</v>
      </c>
    </row>
    <row r="18" spans="1:10" ht="12.75" customHeight="1" x14ac:dyDescent="0.2">
      <c r="A18" s="2" t="s">
        <v>57</v>
      </c>
      <c r="B18">
        <v>1918.9345000000001</v>
      </c>
      <c r="C18">
        <v>2154</v>
      </c>
      <c r="D18">
        <f t="shared" si="0"/>
        <v>235.06549999999993</v>
      </c>
      <c r="E18" t="s">
        <v>75</v>
      </c>
      <c r="F18">
        <v>9</v>
      </c>
      <c r="G18" t="str">
        <f>LOOKUP(Componenten[[#This Row],[id_initieel_mechanisme]],Faalmechanismen[id],Faalmechanismen[Initieel_mechanisme])</f>
        <v>Binnenwaartse macro-instabiliteit</v>
      </c>
      <c r="H18">
        <v>1</v>
      </c>
      <c r="I18">
        <v>2.0812374799989145E-12</v>
      </c>
      <c r="J18">
        <v>0.6</v>
      </c>
    </row>
    <row r="19" spans="1:10" ht="12.75" customHeight="1" x14ac:dyDescent="0.2">
      <c r="A19" s="2" t="s">
        <v>57</v>
      </c>
      <c r="B19">
        <v>2154</v>
      </c>
      <c r="C19">
        <v>2613</v>
      </c>
      <c r="D19">
        <f t="shared" si="0"/>
        <v>459</v>
      </c>
      <c r="E19" t="s">
        <v>76</v>
      </c>
      <c r="F19">
        <v>9</v>
      </c>
      <c r="G19" t="str">
        <f>LOOKUP(Componenten[[#This Row],[id_initieel_mechanisme]],Faalmechanismen[id],Faalmechanismen[Initieel_mechanisme])</f>
        <v>Binnenwaartse macro-instabiliteit</v>
      </c>
      <c r="H19">
        <v>1</v>
      </c>
      <c r="I19">
        <v>3.4970586239913611E-7</v>
      </c>
      <c r="J19">
        <v>0.6</v>
      </c>
    </row>
    <row r="20" spans="1:10" ht="12.75" customHeight="1" x14ac:dyDescent="0.2">
      <c r="A20" s="2" t="s">
        <v>57</v>
      </c>
      <c r="B20">
        <v>2613</v>
      </c>
      <c r="C20">
        <v>2984</v>
      </c>
      <c r="D20">
        <f t="shared" si="0"/>
        <v>371</v>
      </c>
      <c r="E20" t="s">
        <v>77</v>
      </c>
      <c r="F20">
        <v>9</v>
      </c>
      <c r="G20" t="str">
        <f>LOOKUP(Componenten[[#This Row],[id_initieel_mechanisme]],Faalmechanismen[id],Faalmechanismen[Initieel_mechanisme])</f>
        <v>Binnenwaartse macro-instabiliteit</v>
      </c>
      <c r="H20">
        <v>1</v>
      </c>
      <c r="I20">
        <v>3.4970586239913611E-7</v>
      </c>
      <c r="J20">
        <v>0.6</v>
      </c>
    </row>
    <row r="21" spans="1:10" ht="12.75" customHeight="1" x14ac:dyDescent="0.2">
      <c r="A21" s="2" t="s">
        <v>57</v>
      </c>
      <c r="B21">
        <v>2984</v>
      </c>
      <c r="C21">
        <v>3351</v>
      </c>
      <c r="D21">
        <f t="shared" si="0"/>
        <v>367</v>
      </c>
      <c r="E21" t="s">
        <v>78</v>
      </c>
      <c r="F21">
        <v>9</v>
      </c>
      <c r="G21" t="str">
        <f>LOOKUP(Componenten[[#This Row],[id_initieel_mechanisme]],Faalmechanismen[id],Faalmechanismen[Initieel_mechanisme])</f>
        <v>Binnenwaartse macro-instabiliteit</v>
      </c>
      <c r="H21">
        <v>1</v>
      </c>
      <c r="I21">
        <v>1.7323675730587045E-7</v>
      </c>
      <c r="J21">
        <v>0.6</v>
      </c>
    </row>
    <row r="22" spans="1:10" ht="12.75" customHeight="1" x14ac:dyDescent="0.2">
      <c r="A22" s="2" t="s">
        <v>57</v>
      </c>
      <c r="B22">
        <v>3351</v>
      </c>
      <c r="C22">
        <v>3457</v>
      </c>
      <c r="D22">
        <f t="shared" si="0"/>
        <v>106</v>
      </c>
      <c r="E22" t="s">
        <v>79</v>
      </c>
      <c r="F22">
        <v>9</v>
      </c>
      <c r="G22" t="str">
        <f>LOOKUP(Componenten[[#This Row],[id_initieel_mechanisme]],Faalmechanismen[id],Faalmechanismen[Initieel_mechanisme])</f>
        <v>Binnenwaartse macro-instabiliteit</v>
      </c>
      <c r="H22">
        <v>1</v>
      </c>
      <c r="I22">
        <v>9.9999999999999995E-21</v>
      </c>
      <c r="J22">
        <v>0.6</v>
      </c>
    </row>
    <row r="23" spans="1:10" ht="12.75" customHeight="1" x14ac:dyDescent="0.2">
      <c r="A23" s="2" t="s">
        <v>57</v>
      </c>
      <c r="B23">
        <v>3457</v>
      </c>
      <c r="C23">
        <v>4136</v>
      </c>
      <c r="D23">
        <f t="shared" si="0"/>
        <v>679</v>
      </c>
      <c r="E23" t="s">
        <v>80</v>
      </c>
      <c r="F23">
        <v>9</v>
      </c>
      <c r="G23" t="str">
        <f>LOOKUP(Componenten[[#This Row],[id_initieel_mechanisme]],Faalmechanismen[id],Faalmechanismen[Initieel_mechanisme])</f>
        <v>Binnenwaartse macro-instabiliteit</v>
      </c>
      <c r="H23">
        <v>1</v>
      </c>
      <c r="I23">
        <v>9.9999999999999995E-21</v>
      </c>
      <c r="J23">
        <v>0.6</v>
      </c>
    </row>
    <row r="24" spans="1:10" ht="12.75" customHeight="1" x14ac:dyDescent="0.2">
      <c r="A24" s="2" t="s">
        <v>57</v>
      </c>
      <c r="B24">
        <v>4136</v>
      </c>
      <c r="C24">
        <v>4347</v>
      </c>
      <c r="D24">
        <f t="shared" si="0"/>
        <v>211</v>
      </c>
      <c r="E24" t="s">
        <v>81</v>
      </c>
      <c r="F24">
        <v>9</v>
      </c>
      <c r="G24" t="str">
        <f>LOOKUP(Componenten[[#This Row],[id_initieel_mechanisme]],Faalmechanismen[id],Faalmechanismen[Initieel_mechanisme])</f>
        <v>Binnenwaartse macro-instabiliteit</v>
      </c>
      <c r="H24">
        <v>1</v>
      </c>
      <c r="I24">
        <v>2.2120468069104341E-5</v>
      </c>
      <c r="J24">
        <v>0.6</v>
      </c>
    </row>
    <row r="25" spans="1:10" ht="12.75" customHeight="1" x14ac:dyDescent="0.2">
      <c r="A25" s="2" t="s">
        <v>57</v>
      </c>
      <c r="B25">
        <v>4347</v>
      </c>
      <c r="C25">
        <v>4732</v>
      </c>
      <c r="D25">
        <f t="shared" si="0"/>
        <v>385</v>
      </c>
      <c r="E25" t="s">
        <v>82</v>
      </c>
      <c r="F25">
        <v>9</v>
      </c>
      <c r="G25" t="str">
        <f>LOOKUP(Componenten[[#This Row],[id_initieel_mechanisme]],Faalmechanismen[id],Faalmechanismen[Initieel_mechanisme])</f>
        <v>Binnenwaartse macro-instabiliteit</v>
      </c>
      <c r="H25">
        <v>1</v>
      </c>
      <c r="I25">
        <v>1.0907504363001745E-4</v>
      </c>
      <c r="J25">
        <v>0.6</v>
      </c>
    </row>
    <row r="26" spans="1:10" ht="12.75" customHeight="1" x14ac:dyDescent="0.2">
      <c r="A26" s="2" t="s">
        <v>57</v>
      </c>
      <c r="B26">
        <v>4732</v>
      </c>
      <c r="C26">
        <v>5041</v>
      </c>
      <c r="D26">
        <f t="shared" si="0"/>
        <v>309</v>
      </c>
      <c r="E26" t="s">
        <v>83</v>
      </c>
      <c r="F26">
        <v>9</v>
      </c>
      <c r="G26" t="str">
        <f>LOOKUP(Componenten[[#This Row],[id_initieel_mechanisme]],Faalmechanismen[id],Faalmechanismen[Initieel_mechanisme])</f>
        <v>Binnenwaartse macro-instabiliteit</v>
      </c>
      <c r="H26">
        <v>1</v>
      </c>
      <c r="I26">
        <v>1.0907504363001745E-4</v>
      </c>
      <c r="J26">
        <v>0.6</v>
      </c>
    </row>
    <row r="27" spans="1:10" ht="12.75" customHeight="1" x14ac:dyDescent="0.2">
      <c r="A27" s="2" t="s">
        <v>57</v>
      </c>
      <c r="B27">
        <v>5041</v>
      </c>
      <c r="C27">
        <v>5331</v>
      </c>
      <c r="D27">
        <f t="shared" si="0"/>
        <v>290</v>
      </c>
      <c r="E27" t="s">
        <v>84</v>
      </c>
      <c r="F27">
        <v>9</v>
      </c>
      <c r="G27" t="str">
        <f>LOOKUP(Componenten[[#This Row],[id_initieel_mechanisme]],Faalmechanismen[id],Faalmechanismen[Initieel_mechanisme])</f>
        <v>Binnenwaartse macro-instabiliteit</v>
      </c>
      <c r="H27">
        <v>1</v>
      </c>
      <c r="I27">
        <v>1.0907504363001745E-4</v>
      </c>
      <c r="J27">
        <v>0.6</v>
      </c>
    </row>
    <row r="28" spans="1:10" ht="12.75" customHeight="1" x14ac:dyDescent="0.2">
      <c r="A28" s="2" t="s">
        <v>57</v>
      </c>
      <c r="B28">
        <v>5331</v>
      </c>
      <c r="C28">
        <v>5527</v>
      </c>
      <c r="D28">
        <f t="shared" si="0"/>
        <v>196</v>
      </c>
      <c r="E28" t="s">
        <v>85</v>
      </c>
      <c r="F28">
        <v>9</v>
      </c>
      <c r="G28" t="str">
        <f>LOOKUP(Componenten[[#This Row],[id_initieel_mechanisme]],Faalmechanismen[id],Faalmechanismen[Initieel_mechanisme])</f>
        <v>Binnenwaartse macro-instabiliteit</v>
      </c>
      <c r="H28">
        <v>1</v>
      </c>
      <c r="I28">
        <v>3.6845983787767134E-4</v>
      </c>
      <c r="J28">
        <v>0.6</v>
      </c>
    </row>
    <row r="29" spans="1:10" ht="12.75" customHeight="1" x14ac:dyDescent="0.2">
      <c r="A29" s="2" t="s">
        <v>57</v>
      </c>
      <c r="B29">
        <v>5527</v>
      </c>
      <c r="C29">
        <v>5738.9515000000001</v>
      </c>
      <c r="D29">
        <f t="shared" si="0"/>
        <v>211.95150000000012</v>
      </c>
      <c r="E29" t="s">
        <v>86</v>
      </c>
      <c r="F29">
        <v>9</v>
      </c>
      <c r="G29" t="str">
        <f>LOOKUP(Componenten[[#This Row],[id_initieel_mechanisme]],Faalmechanismen[id],Faalmechanismen[Initieel_mechanisme])</f>
        <v>Binnenwaartse macro-instabiliteit</v>
      </c>
      <c r="H29">
        <v>1</v>
      </c>
      <c r="I29">
        <v>8.4961767204757861E-4</v>
      </c>
      <c r="J29">
        <v>0.6</v>
      </c>
    </row>
    <row r="30" spans="1:10" ht="12.75" customHeight="1" x14ac:dyDescent="0.2">
      <c r="A30" s="2" t="s">
        <v>57</v>
      </c>
      <c r="B30">
        <v>5738.9515000000001</v>
      </c>
      <c r="C30">
        <v>5749.4798000000001</v>
      </c>
      <c r="D30">
        <f t="shared" si="0"/>
        <v>10.528299999999945</v>
      </c>
      <c r="E30" t="s">
        <v>87</v>
      </c>
      <c r="F30">
        <v>9</v>
      </c>
      <c r="G30" t="str">
        <f>LOOKUP(Componenten[[#This Row],[id_initieel_mechanisme]],Faalmechanismen[id],Faalmechanismen[Initieel_mechanisme])</f>
        <v>Binnenwaartse macro-instabiliteit</v>
      </c>
      <c r="H30">
        <v>1</v>
      </c>
      <c r="I30">
        <v>8.4961767204757861E-4</v>
      </c>
      <c r="J30">
        <v>0.6</v>
      </c>
    </row>
    <row r="31" spans="1:10" ht="12.75" customHeight="1" x14ac:dyDescent="0.2">
      <c r="A31" s="2" t="s">
        <v>57</v>
      </c>
      <c r="B31">
        <v>5749.4798000000001</v>
      </c>
      <c r="C31">
        <v>6016</v>
      </c>
      <c r="D31">
        <f t="shared" si="0"/>
        <v>266.52019999999993</v>
      </c>
      <c r="E31" t="s">
        <v>88</v>
      </c>
      <c r="F31">
        <v>9</v>
      </c>
      <c r="G31" t="str">
        <f>LOOKUP(Componenten[[#This Row],[id_initieel_mechanisme]],Faalmechanismen[id],Faalmechanismen[Initieel_mechanisme])</f>
        <v>Binnenwaartse macro-instabiliteit</v>
      </c>
      <c r="H31">
        <v>1</v>
      </c>
      <c r="I31">
        <v>8.4961767204757861E-4</v>
      </c>
      <c r="J31">
        <v>0.6</v>
      </c>
    </row>
    <row r="32" spans="1:10" ht="12.75" customHeight="1" x14ac:dyDescent="0.2">
      <c r="A32" s="2" t="s">
        <v>57</v>
      </c>
      <c r="B32">
        <v>6016</v>
      </c>
      <c r="C32">
        <v>6336</v>
      </c>
      <c r="D32">
        <f t="shared" si="0"/>
        <v>320</v>
      </c>
      <c r="E32" t="s">
        <v>89</v>
      </c>
      <c r="F32">
        <v>9</v>
      </c>
      <c r="G32" t="str">
        <f>LOOKUP(Componenten[[#This Row],[id_initieel_mechanisme]],Faalmechanismen[id],Faalmechanismen[Initieel_mechanisme])</f>
        <v>Binnenwaartse macro-instabiliteit</v>
      </c>
      <c r="H32">
        <v>1</v>
      </c>
      <c r="I32">
        <v>8.4961767204757861E-4</v>
      </c>
      <c r="J32">
        <v>0.6</v>
      </c>
    </row>
    <row r="33" spans="1:10" ht="12.75" customHeight="1" x14ac:dyDescent="0.2">
      <c r="A33" s="2" t="s">
        <v>57</v>
      </c>
      <c r="B33">
        <v>6336</v>
      </c>
      <c r="C33">
        <v>6553</v>
      </c>
      <c r="D33">
        <f t="shared" si="0"/>
        <v>217</v>
      </c>
      <c r="E33" t="s">
        <v>90</v>
      </c>
      <c r="F33">
        <v>9</v>
      </c>
      <c r="G33" t="str">
        <f>LOOKUP(Componenten[[#This Row],[id_initieel_mechanisme]],Faalmechanismen[id],Faalmechanismen[Initieel_mechanisme])</f>
        <v>Binnenwaartse macro-instabiliteit</v>
      </c>
      <c r="H33">
        <v>1</v>
      </c>
      <c r="I33">
        <v>8.4961767204757861E-4</v>
      </c>
      <c r="J33">
        <v>0.6</v>
      </c>
    </row>
    <row r="34" spans="1:10" ht="12.75" customHeight="1" x14ac:dyDescent="0.2">
      <c r="A34" s="2" t="s">
        <v>57</v>
      </c>
      <c r="B34">
        <v>6553</v>
      </c>
      <c r="C34">
        <v>6850</v>
      </c>
      <c r="D34">
        <f t="shared" ref="D34:D65" si="1">C34-B34</f>
        <v>297</v>
      </c>
      <c r="E34" t="s">
        <v>91</v>
      </c>
      <c r="F34">
        <v>9</v>
      </c>
      <c r="G34" t="str">
        <f>LOOKUP(Componenten[[#This Row],[id_initieel_mechanisme]],Faalmechanismen[id],Faalmechanismen[Initieel_mechanisme])</f>
        <v>Binnenwaartse macro-instabiliteit</v>
      </c>
      <c r="H34">
        <v>1</v>
      </c>
      <c r="I34">
        <v>8.4961767204757861E-4</v>
      </c>
      <c r="J34">
        <v>0.6</v>
      </c>
    </row>
    <row r="35" spans="1:10" ht="12.75" customHeight="1" x14ac:dyDescent="0.2">
      <c r="A35" s="2" t="s">
        <v>57</v>
      </c>
      <c r="B35">
        <v>6850</v>
      </c>
      <c r="C35">
        <v>7115</v>
      </c>
      <c r="D35">
        <f t="shared" si="1"/>
        <v>265</v>
      </c>
      <c r="E35" t="s">
        <v>92</v>
      </c>
      <c r="F35">
        <v>9</v>
      </c>
      <c r="G35" t="str">
        <f>LOOKUP(Componenten[[#This Row],[id_initieel_mechanisme]],Faalmechanismen[id],Faalmechanismen[Initieel_mechanisme])</f>
        <v>Binnenwaartse macro-instabiliteit</v>
      </c>
      <c r="H35">
        <v>1</v>
      </c>
      <c r="I35">
        <v>8.4961767204757861E-4</v>
      </c>
      <c r="J35">
        <v>0.6</v>
      </c>
    </row>
    <row r="36" spans="1:10" ht="12.75" customHeight="1" x14ac:dyDescent="0.2">
      <c r="A36" s="2" t="s">
        <v>57</v>
      </c>
      <c r="B36">
        <v>7115</v>
      </c>
      <c r="C36">
        <v>7293</v>
      </c>
      <c r="D36">
        <f t="shared" si="1"/>
        <v>178</v>
      </c>
      <c r="E36" t="s">
        <v>93</v>
      </c>
      <c r="F36">
        <v>9</v>
      </c>
      <c r="G36" t="str">
        <f>LOOKUP(Componenten[[#This Row],[id_initieel_mechanisme]],Faalmechanismen[id],Faalmechanismen[Initieel_mechanisme])</f>
        <v>Binnenwaartse macro-instabiliteit</v>
      </c>
      <c r="H36">
        <v>1</v>
      </c>
      <c r="I36">
        <v>8.4961767204757861E-4</v>
      </c>
      <c r="J36">
        <v>0.6</v>
      </c>
    </row>
    <row r="37" spans="1:10" ht="12.75" customHeight="1" x14ac:dyDescent="0.2">
      <c r="A37" s="2" t="s">
        <v>57</v>
      </c>
      <c r="B37">
        <v>7293</v>
      </c>
      <c r="C37">
        <v>7464</v>
      </c>
      <c r="D37">
        <f t="shared" si="1"/>
        <v>171</v>
      </c>
      <c r="E37" t="s">
        <v>94</v>
      </c>
      <c r="F37">
        <v>9</v>
      </c>
      <c r="G37" t="str">
        <f>LOOKUP(Componenten[[#This Row],[id_initieel_mechanisme]],Faalmechanismen[id],Faalmechanismen[Initieel_mechanisme])</f>
        <v>Binnenwaartse macro-instabiliteit</v>
      </c>
      <c r="H37">
        <v>1</v>
      </c>
      <c r="I37">
        <v>8.4961767204757861E-4</v>
      </c>
      <c r="J37">
        <v>0.6</v>
      </c>
    </row>
    <row r="38" spans="1:10" ht="12.75" customHeight="1" x14ac:dyDescent="0.2">
      <c r="A38" s="2" t="s">
        <v>57</v>
      </c>
      <c r="B38">
        <v>7464</v>
      </c>
      <c r="C38">
        <v>7537</v>
      </c>
      <c r="D38">
        <f t="shared" si="1"/>
        <v>73</v>
      </c>
      <c r="E38" t="s">
        <v>95</v>
      </c>
      <c r="F38">
        <v>9</v>
      </c>
      <c r="G38" t="str">
        <f>LOOKUP(Componenten[[#This Row],[id_initieel_mechanisme]],Faalmechanismen[id],Faalmechanismen[Initieel_mechanisme])</f>
        <v>Binnenwaartse macro-instabiliteit</v>
      </c>
      <c r="H38">
        <v>1</v>
      </c>
      <c r="I38">
        <v>8.4961767204757861E-4</v>
      </c>
      <c r="J38">
        <v>0.6</v>
      </c>
    </row>
    <row r="39" spans="1:10" ht="12.75" customHeight="1" x14ac:dyDescent="0.2">
      <c r="A39" s="2" t="s">
        <v>57</v>
      </c>
      <c r="B39">
        <v>7537</v>
      </c>
      <c r="C39">
        <v>7864</v>
      </c>
      <c r="D39">
        <f t="shared" si="1"/>
        <v>327</v>
      </c>
      <c r="E39" t="s">
        <v>96</v>
      </c>
      <c r="F39">
        <v>9</v>
      </c>
      <c r="G39" t="str">
        <f>LOOKUP(Componenten[[#This Row],[id_initieel_mechanisme]],Faalmechanismen[id],Faalmechanismen[Initieel_mechanisme])</f>
        <v>Binnenwaartse macro-instabiliteit</v>
      </c>
      <c r="H39">
        <v>1</v>
      </c>
      <c r="I39">
        <v>8.4961767204757861E-4</v>
      </c>
      <c r="J39">
        <v>0.6</v>
      </c>
    </row>
    <row r="40" spans="1:10" ht="12.75" customHeight="1" x14ac:dyDescent="0.2">
      <c r="A40" s="2" t="s">
        <v>57</v>
      </c>
      <c r="B40">
        <v>7864</v>
      </c>
      <c r="C40">
        <v>8250</v>
      </c>
      <c r="D40">
        <f t="shared" si="1"/>
        <v>386</v>
      </c>
      <c r="E40" t="s">
        <v>97</v>
      </c>
      <c r="F40">
        <v>9</v>
      </c>
      <c r="G40" t="str">
        <f>LOOKUP(Componenten[[#This Row],[id_initieel_mechanisme]],Faalmechanismen[id],Faalmechanismen[Initieel_mechanisme])</f>
        <v>Binnenwaartse macro-instabiliteit</v>
      </c>
      <c r="H40">
        <v>1</v>
      </c>
      <c r="I40">
        <v>8.4961767204757861E-4</v>
      </c>
      <c r="J40">
        <v>0.6</v>
      </c>
    </row>
    <row r="41" spans="1:10" ht="12.75" customHeight="1" x14ac:dyDescent="0.2">
      <c r="A41" s="2" t="s">
        <v>57</v>
      </c>
      <c r="B41">
        <v>8250</v>
      </c>
      <c r="C41">
        <v>8331</v>
      </c>
      <c r="D41">
        <f t="shared" si="1"/>
        <v>81</v>
      </c>
      <c r="E41" t="s">
        <v>98</v>
      </c>
      <c r="F41">
        <v>9</v>
      </c>
      <c r="G41" t="str">
        <f>LOOKUP(Componenten[[#This Row],[id_initieel_mechanisme]],Faalmechanismen[id],Faalmechanismen[Initieel_mechanisme])</f>
        <v>Binnenwaartse macro-instabiliteit</v>
      </c>
      <c r="H41">
        <v>1</v>
      </c>
      <c r="I41">
        <v>8.4961767204757861E-4</v>
      </c>
      <c r="J41">
        <v>0.6</v>
      </c>
    </row>
    <row r="42" spans="1:10" ht="12.75" customHeight="1" x14ac:dyDescent="0.2">
      <c r="A42" s="2" t="s">
        <v>57</v>
      </c>
      <c r="B42">
        <v>8331</v>
      </c>
      <c r="C42">
        <v>8645</v>
      </c>
      <c r="D42">
        <f t="shared" si="1"/>
        <v>314</v>
      </c>
      <c r="E42" t="s">
        <v>99</v>
      </c>
      <c r="F42">
        <v>9</v>
      </c>
      <c r="G42" t="str">
        <f>LOOKUP(Componenten[[#This Row],[id_initieel_mechanisme]],Faalmechanismen[id],Faalmechanismen[Initieel_mechanisme])</f>
        <v>Binnenwaartse macro-instabiliteit</v>
      </c>
      <c r="H42">
        <v>1</v>
      </c>
      <c r="I42">
        <v>1E-3</v>
      </c>
      <c r="J42">
        <v>0.6</v>
      </c>
    </row>
    <row r="43" spans="1:10" ht="12.75" customHeight="1" x14ac:dyDescent="0.2">
      <c r="A43" s="2" t="s">
        <v>57</v>
      </c>
      <c r="B43">
        <v>8645</v>
      </c>
      <c r="C43">
        <v>8962</v>
      </c>
      <c r="D43">
        <f t="shared" si="1"/>
        <v>317</v>
      </c>
      <c r="E43" t="s">
        <v>100</v>
      </c>
      <c r="F43">
        <v>9</v>
      </c>
      <c r="G43" t="str">
        <f>LOOKUP(Componenten[[#This Row],[id_initieel_mechanisme]],Faalmechanismen[id],Faalmechanismen[Initieel_mechanisme])</f>
        <v>Binnenwaartse macro-instabiliteit</v>
      </c>
      <c r="H43">
        <v>1</v>
      </c>
      <c r="I43">
        <v>1E-3</v>
      </c>
      <c r="J43">
        <v>0.6</v>
      </c>
    </row>
    <row r="44" spans="1:10" ht="12.75" customHeight="1" x14ac:dyDescent="0.2">
      <c r="A44" s="2" t="s">
        <v>57</v>
      </c>
      <c r="B44">
        <v>8962</v>
      </c>
      <c r="C44">
        <v>9200</v>
      </c>
      <c r="D44">
        <f t="shared" si="1"/>
        <v>238</v>
      </c>
      <c r="E44" t="s">
        <v>101</v>
      </c>
      <c r="F44">
        <v>9</v>
      </c>
      <c r="G44" t="str">
        <f>LOOKUP(Componenten[[#This Row],[id_initieel_mechanisme]],Faalmechanismen[id],Faalmechanismen[Initieel_mechanisme])</f>
        <v>Binnenwaartse macro-instabiliteit</v>
      </c>
      <c r="H44">
        <v>1</v>
      </c>
      <c r="I44">
        <v>1E-3</v>
      </c>
      <c r="J44">
        <v>0.6</v>
      </c>
    </row>
    <row r="45" spans="1:10" ht="12.75" customHeight="1" x14ac:dyDescent="0.2">
      <c r="A45" s="2" t="s">
        <v>57</v>
      </c>
      <c r="B45">
        <v>9200</v>
      </c>
      <c r="C45">
        <v>9502</v>
      </c>
      <c r="D45">
        <f t="shared" si="1"/>
        <v>302</v>
      </c>
      <c r="E45" t="s">
        <v>102</v>
      </c>
      <c r="F45">
        <v>9</v>
      </c>
      <c r="G45" t="str">
        <f>LOOKUP(Componenten[[#This Row],[id_initieel_mechanisme]],Faalmechanismen[id],Faalmechanismen[Initieel_mechanisme])</f>
        <v>Binnenwaartse macro-instabiliteit</v>
      </c>
      <c r="H45">
        <v>1</v>
      </c>
      <c r="I45">
        <v>1.8899999967869999E-8</v>
      </c>
      <c r="J45">
        <v>0.6</v>
      </c>
    </row>
    <row r="46" spans="1:10" ht="12.75" customHeight="1" x14ac:dyDescent="0.2">
      <c r="A46" s="2" t="s">
        <v>57</v>
      </c>
      <c r="B46">
        <v>9502</v>
      </c>
      <c r="C46">
        <v>9739</v>
      </c>
      <c r="D46">
        <f t="shared" si="1"/>
        <v>237</v>
      </c>
      <c r="E46" t="s">
        <v>103</v>
      </c>
      <c r="F46">
        <v>9</v>
      </c>
      <c r="G46" t="str">
        <f>LOOKUP(Componenten[[#This Row],[id_initieel_mechanisme]],Faalmechanismen[id],Faalmechanismen[Initieel_mechanisme])</f>
        <v>Binnenwaartse macro-instabiliteit</v>
      </c>
      <c r="H46">
        <v>1</v>
      </c>
      <c r="I46">
        <v>1.8899999967869999E-8</v>
      </c>
      <c r="J46">
        <v>0.6</v>
      </c>
    </row>
    <row r="47" spans="1:10" x14ac:dyDescent="0.2">
      <c r="A47" s="2" t="s">
        <v>57</v>
      </c>
      <c r="B47">
        <v>9739</v>
      </c>
      <c r="C47">
        <v>10019</v>
      </c>
      <c r="D47">
        <f t="shared" si="1"/>
        <v>280</v>
      </c>
      <c r="E47" t="s">
        <v>104</v>
      </c>
      <c r="F47">
        <v>9</v>
      </c>
      <c r="G47" t="str">
        <f>LOOKUP(Componenten[[#This Row],[id_initieel_mechanisme]],Faalmechanismen[id],Faalmechanismen[Initieel_mechanisme])</f>
        <v>Binnenwaartse macro-instabiliteit</v>
      </c>
      <c r="H47">
        <v>1</v>
      </c>
      <c r="I47">
        <v>1E-3</v>
      </c>
      <c r="J47">
        <v>0.6</v>
      </c>
    </row>
    <row r="48" spans="1:10" x14ac:dyDescent="0.2">
      <c r="A48" s="2" t="s">
        <v>57</v>
      </c>
      <c r="B48">
        <v>10019</v>
      </c>
      <c r="C48">
        <v>10330</v>
      </c>
      <c r="D48">
        <f t="shared" si="1"/>
        <v>311</v>
      </c>
      <c r="E48" t="s">
        <v>105</v>
      </c>
      <c r="F48">
        <v>9</v>
      </c>
      <c r="G48" t="str">
        <f>LOOKUP(Componenten[[#This Row],[id_initieel_mechanisme]],Faalmechanismen[id],Faalmechanismen[Initieel_mechanisme])</f>
        <v>Binnenwaartse macro-instabiliteit</v>
      </c>
      <c r="H48">
        <v>1</v>
      </c>
      <c r="I48">
        <v>1E-3</v>
      </c>
      <c r="J48">
        <v>0.6</v>
      </c>
    </row>
    <row r="49" spans="1:10" x14ac:dyDescent="0.2">
      <c r="A49" s="2" t="s">
        <v>57</v>
      </c>
      <c r="B49">
        <v>10330</v>
      </c>
      <c r="C49">
        <v>10475</v>
      </c>
      <c r="D49">
        <f t="shared" si="1"/>
        <v>145</v>
      </c>
      <c r="E49" t="s">
        <v>106</v>
      </c>
      <c r="F49">
        <v>9</v>
      </c>
      <c r="G49" t="str">
        <f>LOOKUP(Componenten[[#This Row],[id_initieel_mechanisme]],Faalmechanismen[id],Faalmechanismen[Initieel_mechanisme])</f>
        <v>Binnenwaartse macro-instabiliteit</v>
      </c>
      <c r="H49">
        <v>1</v>
      </c>
      <c r="I49">
        <v>1.8899999967869999E-8</v>
      </c>
      <c r="J49">
        <v>0.6</v>
      </c>
    </row>
    <row r="50" spans="1:10" x14ac:dyDescent="0.2">
      <c r="A50" s="2" t="s">
        <v>57</v>
      </c>
      <c r="B50">
        <v>10475</v>
      </c>
      <c r="C50">
        <v>10737</v>
      </c>
      <c r="D50">
        <f t="shared" si="1"/>
        <v>262</v>
      </c>
      <c r="E50" t="s">
        <v>107</v>
      </c>
      <c r="F50">
        <v>9</v>
      </c>
      <c r="G50" t="str">
        <f>LOOKUP(Componenten[[#This Row],[id_initieel_mechanisme]],Faalmechanismen[id],Faalmechanismen[Initieel_mechanisme])</f>
        <v>Binnenwaartse macro-instabiliteit</v>
      </c>
      <c r="H50">
        <v>1</v>
      </c>
      <c r="I50">
        <v>1.8899999967869999E-8</v>
      </c>
      <c r="J50">
        <v>0.6</v>
      </c>
    </row>
    <row r="51" spans="1:10" x14ac:dyDescent="0.2">
      <c r="A51" s="2" t="s">
        <v>57</v>
      </c>
      <c r="B51">
        <v>10737</v>
      </c>
      <c r="C51">
        <v>10991</v>
      </c>
      <c r="D51">
        <f t="shared" si="1"/>
        <v>254</v>
      </c>
      <c r="E51" t="s">
        <v>108</v>
      </c>
      <c r="F51">
        <v>9</v>
      </c>
      <c r="G51" t="str">
        <f>LOOKUP(Componenten[[#This Row],[id_initieel_mechanisme]],Faalmechanismen[id],Faalmechanismen[Initieel_mechanisme])</f>
        <v>Binnenwaartse macro-instabiliteit</v>
      </c>
      <c r="H51">
        <v>1</v>
      </c>
      <c r="I51">
        <v>1E-3</v>
      </c>
      <c r="J51">
        <v>0.6</v>
      </c>
    </row>
    <row r="52" spans="1:10" x14ac:dyDescent="0.2">
      <c r="A52" s="2" t="s">
        <v>57</v>
      </c>
      <c r="B52">
        <v>10991</v>
      </c>
      <c r="C52">
        <v>11241</v>
      </c>
      <c r="D52">
        <f t="shared" si="1"/>
        <v>250</v>
      </c>
      <c r="E52" t="s">
        <v>109</v>
      </c>
      <c r="F52">
        <v>9</v>
      </c>
      <c r="G52" t="str">
        <f>LOOKUP(Componenten[[#This Row],[id_initieel_mechanisme]],Faalmechanismen[id],Faalmechanismen[Initieel_mechanisme])</f>
        <v>Binnenwaartse macro-instabiliteit</v>
      </c>
      <c r="H52">
        <v>1</v>
      </c>
      <c r="I52">
        <v>1E-3</v>
      </c>
      <c r="J52">
        <v>0.6</v>
      </c>
    </row>
    <row r="53" spans="1:10" x14ac:dyDescent="0.2">
      <c r="A53" s="2" t="s">
        <v>57</v>
      </c>
      <c r="B53">
        <v>11241</v>
      </c>
      <c r="C53">
        <v>11414.856900000001</v>
      </c>
      <c r="D53">
        <f t="shared" si="1"/>
        <v>173.85690000000068</v>
      </c>
      <c r="E53" t="s">
        <v>110</v>
      </c>
      <c r="F53">
        <v>9</v>
      </c>
      <c r="G53" t="str">
        <f>LOOKUP(Componenten[[#This Row],[id_initieel_mechanisme]],Faalmechanismen[id],Faalmechanismen[Initieel_mechanisme])</f>
        <v>Binnenwaartse macro-instabiliteit</v>
      </c>
      <c r="H53">
        <v>1</v>
      </c>
      <c r="I53">
        <v>1E-3</v>
      </c>
      <c r="J53">
        <v>0.6</v>
      </c>
    </row>
    <row r="54" spans="1:10" x14ac:dyDescent="0.2">
      <c r="A54" s="2" t="s">
        <v>57</v>
      </c>
      <c r="B54">
        <v>11414.856900000001</v>
      </c>
      <c r="C54">
        <v>11448.986000000001</v>
      </c>
      <c r="D54">
        <f t="shared" si="1"/>
        <v>34.129100000000108</v>
      </c>
      <c r="E54" t="s">
        <v>111</v>
      </c>
      <c r="F54">
        <v>9</v>
      </c>
      <c r="G54" t="str">
        <f>LOOKUP(Componenten[[#This Row],[id_initieel_mechanisme]],Faalmechanismen[id],Faalmechanismen[Initieel_mechanisme])</f>
        <v>Binnenwaartse macro-instabiliteit</v>
      </c>
      <c r="H54">
        <v>1</v>
      </c>
      <c r="I54">
        <v>9.9999999999999995E-21</v>
      </c>
      <c r="J54">
        <v>0.6</v>
      </c>
    </row>
    <row r="55" spans="1:10" x14ac:dyDescent="0.2">
      <c r="A55" s="2" t="s">
        <v>57</v>
      </c>
      <c r="B55">
        <v>11448.986000000001</v>
      </c>
      <c r="C55">
        <v>11464.6363</v>
      </c>
      <c r="D55">
        <f t="shared" si="1"/>
        <v>15.650299999999334</v>
      </c>
      <c r="E55" t="s">
        <v>112</v>
      </c>
      <c r="F55">
        <v>9</v>
      </c>
      <c r="G55" t="str">
        <f>LOOKUP(Componenten[[#This Row],[id_initieel_mechanisme]],Faalmechanismen[id],Faalmechanismen[Initieel_mechanisme])</f>
        <v>Binnenwaartse macro-instabiliteit</v>
      </c>
      <c r="H55">
        <v>1</v>
      </c>
      <c r="I55">
        <v>9.9999999999999995E-21</v>
      </c>
      <c r="J55">
        <v>0.6</v>
      </c>
    </row>
    <row r="56" spans="1:10" x14ac:dyDescent="0.2">
      <c r="A56" s="2" t="s">
        <v>57</v>
      </c>
      <c r="B56">
        <v>11464.6363</v>
      </c>
      <c r="C56">
        <v>11697</v>
      </c>
      <c r="D56">
        <f t="shared" si="1"/>
        <v>232.36369999999988</v>
      </c>
      <c r="E56" t="s">
        <v>113</v>
      </c>
      <c r="F56">
        <v>9</v>
      </c>
      <c r="G56" t="str">
        <f>LOOKUP(Componenten[[#This Row],[id_initieel_mechanisme]],Faalmechanismen[id],Faalmechanismen[Initieel_mechanisme])</f>
        <v>Binnenwaartse macro-instabiliteit</v>
      </c>
      <c r="H56">
        <v>1</v>
      </c>
      <c r="I56">
        <v>4.621072088724584E-4</v>
      </c>
      <c r="J56">
        <v>0.6</v>
      </c>
    </row>
    <row r="57" spans="1:10" x14ac:dyDescent="0.2">
      <c r="A57" s="2" t="s">
        <v>57</v>
      </c>
      <c r="B57">
        <v>11697</v>
      </c>
      <c r="C57">
        <v>12068</v>
      </c>
      <c r="D57">
        <f t="shared" si="1"/>
        <v>371</v>
      </c>
      <c r="E57" t="s">
        <v>114</v>
      </c>
      <c r="F57">
        <v>9</v>
      </c>
      <c r="G57" t="str">
        <f>LOOKUP(Componenten[[#This Row],[id_initieel_mechanisme]],Faalmechanismen[id],Faalmechanismen[Initieel_mechanisme])</f>
        <v>Binnenwaartse macro-instabiliteit</v>
      </c>
      <c r="H57">
        <v>1</v>
      </c>
      <c r="I57">
        <v>1.8899999967869999E-8</v>
      </c>
      <c r="J57">
        <v>0.6</v>
      </c>
    </row>
    <row r="58" spans="1:10" x14ac:dyDescent="0.2">
      <c r="A58" s="2" t="s">
        <v>57</v>
      </c>
      <c r="B58">
        <v>12068</v>
      </c>
      <c r="C58">
        <v>12248</v>
      </c>
      <c r="D58">
        <f t="shared" si="1"/>
        <v>180</v>
      </c>
      <c r="E58" t="s">
        <v>115</v>
      </c>
      <c r="F58">
        <v>9</v>
      </c>
      <c r="G58" t="str">
        <f>LOOKUP(Componenten[[#This Row],[id_initieel_mechanisme]],Faalmechanismen[id],Faalmechanismen[Initieel_mechanisme])</f>
        <v>Binnenwaartse macro-instabiliteit</v>
      </c>
      <c r="H58">
        <v>1</v>
      </c>
      <c r="I58">
        <v>1.8899999967869999E-8</v>
      </c>
      <c r="J58">
        <v>0.6</v>
      </c>
    </row>
    <row r="59" spans="1:10" x14ac:dyDescent="0.2">
      <c r="A59" s="2" t="s">
        <v>57</v>
      </c>
      <c r="B59">
        <v>12248</v>
      </c>
      <c r="C59">
        <v>12338.8055</v>
      </c>
      <c r="D59">
        <f t="shared" si="1"/>
        <v>90.805500000000393</v>
      </c>
      <c r="E59" t="s">
        <v>116</v>
      </c>
      <c r="F59">
        <v>9</v>
      </c>
      <c r="G59" t="str">
        <f>LOOKUP(Componenten[[#This Row],[id_initieel_mechanisme]],Faalmechanismen[id],Faalmechanismen[Initieel_mechanisme])</f>
        <v>Binnenwaartse macro-instabiliteit</v>
      </c>
      <c r="H59">
        <v>1</v>
      </c>
      <c r="I59">
        <v>4.621072088724584E-4</v>
      </c>
      <c r="J59">
        <v>0.6</v>
      </c>
    </row>
    <row r="60" spans="1:10" x14ac:dyDescent="0.2">
      <c r="A60" s="2" t="s">
        <v>57</v>
      </c>
      <c r="B60">
        <v>12338.8055</v>
      </c>
      <c r="C60">
        <v>12350.0589</v>
      </c>
      <c r="D60">
        <f t="shared" si="1"/>
        <v>11.253399999999601</v>
      </c>
      <c r="E60" t="s">
        <v>117</v>
      </c>
      <c r="F60">
        <v>9</v>
      </c>
      <c r="G60" t="str">
        <f>LOOKUP(Componenten[[#This Row],[id_initieel_mechanisme]],Faalmechanismen[id],Faalmechanismen[Initieel_mechanisme])</f>
        <v>Binnenwaartse macro-instabiliteit</v>
      </c>
      <c r="H60">
        <v>1</v>
      </c>
      <c r="I60">
        <v>4.621072088724584E-4</v>
      </c>
      <c r="J60">
        <v>0.6</v>
      </c>
    </row>
    <row r="61" spans="1:10" x14ac:dyDescent="0.2">
      <c r="A61" s="2" t="s">
        <v>57</v>
      </c>
      <c r="B61">
        <v>12350.0589</v>
      </c>
      <c r="C61">
        <v>12419</v>
      </c>
      <c r="D61">
        <f t="shared" si="1"/>
        <v>68.941100000000006</v>
      </c>
      <c r="E61" t="s">
        <v>118</v>
      </c>
      <c r="F61">
        <v>9</v>
      </c>
      <c r="G61" t="str">
        <f>LOOKUP(Componenten[[#This Row],[id_initieel_mechanisme]],Faalmechanismen[id],Faalmechanismen[Initieel_mechanisme])</f>
        <v>Binnenwaartse macro-instabiliteit</v>
      </c>
      <c r="H61">
        <v>1</v>
      </c>
      <c r="I61">
        <v>4.621072088724584E-4</v>
      </c>
      <c r="J61">
        <v>0.6</v>
      </c>
    </row>
    <row r="62" spans="1:10" x14ac:dyDescent="0.2">
      <c r="A62" s="2" t="s">
        <v>57</v>
      </c>
      <c r="B62">
        <v>12419</v>
      </c>
      <c r="C62">
        <v>12626</v>
      </c>
      <c r="D62">
        <f t="shared" si="1"/>
        <v>207</v>
      </c>
      <c r="E62" t="s">
        <v>119</v>
      </c>
      <c r="F62">
        <v>9</v>
      </c>
      <c r="G62" t="str">
        <f>LOOKUP(Componenten[[#This Row],[id_initieel_mechanisme]],Faalmechanismen[id],Faalmechanismen[Initieel_mechanisme])</f>
        <v>Binnenwaartse macro-instabiliteit</v>
      </c>
      <c r="H62">
        <v>1</v>
      </c>
      <c r="I62">
        <v>1.0000000000000001E-15</v>
      </c>
      <c r="J62">
        <v>0.6</v>
      </c>
    </row>
    <row r="63" spans="1:10" x14ac:dyDescent="0.2">
      <c r="A63" s="2" t="s">
        <v>57</v>
      </c>
      <c r="B63">
        <v>12626</v>
      </c>
      <c r="C63">
        <v>12916</v>
      </c>
      <c r="D63">
        <f t="shared" si="1"/>
        <v>290</v>
      </c>
      <c r="E63" t="s">
        <v>120</v>
      </c>
      <c r="F63">
        <v>9</v>
      </c>
      <c r="G63" t="str">
        <f>LOOKUP(Componenten[[#This Row],[id_initieel_mechanisme]],Faalmechanismen[id],Faalmechanismen[Initieel_mechanisme])</f>
        <v>Binnenwaartse macro-instabiliteit</v>
      </c>
      <c r="H63">
        <v>1</v>
      </c>
      <c r="I63">
        <v>4.3920714326497805E-6</v>
      </c>
      <c r="J63">
        <v>0.6</v>
      </c>
    </row>
    <row r="64" spans="1:10" x14ac:dyDescent="0.2">
      <c r="A64" s="2" t="s">
        <v>57</v>
      </c>
      <c r="B64">
        <v>12916</v>
      </c>
      <c r="C64">
        <v>13224</v>
      </c>
      <c r="D64">
        <f t="shared" si="1"/>
        <v>308</v>
      </c>
      <c r="E64" t="s">
        <v>121</v>
      </c>
      <c r="F64">
        <v>9</v>
      </c>
      <c r="G64" t="str">
        <f>LOOKUP(Componenten[[#This Row],[id_initieel_mechanisme]],Faalmechanismen[id],Faalmechanismen[Initieel_mechanisme])</f>
        <v>Binnenwaartse macro-instabiliteit</v>
      </c>
      <c r="H64">
        <v>1</v>
      </c>
      <c r="I64">
        <v>4.9236354000004946E-13</v>
      </c>
      <c r="J64">
        <v>0.6</v>
      </c>
    </row>
    <row r="65" spans="1:10" x14ac:dyDescent="0.2">
      <c r="A65" s="2" t="s">
        <v>57</v>
      </c>
      <c r="B65">
        <v>13224</v>
      </c>
      <c r="C65">
        <v>13780.6648</v>
      </c>
      <c r="D65">
        <f t="shared" si="1"/>
        <v>556.66480000000047</v>
      </c>
      <c r="E65" t="s">
        <v>122</v>
      </c>
      <c r="F65">
        <v>9</v>
      </c>
      <c r="G65" t="str">
        <f>LOOKUP(Componenten[[#This Row],[id_initieel_mechanisme]],Faalmechanismen[id],Faalmechanismen[Initieel_mechanisme])</f>
        <v>Binnenwaartse macro-instabiliteit</v>
      </c>
      <c r="H65">
        <v>1</v>
      </c>
      <c r="I65">
        <v>1.0000000000000001E-15</v>
      </c>
      <c r="J65">
        <v>0.6</v>
      </c>
    </row>
    <row r="66" spans="1:10" x14ac:dyDescent="0.2">
      <c r="A66" s="2" t="s">
        <v>57</v>
      </c>
      <c r="B66">
        <v>13780.6648</v>
      </c>
      <c r="C66">
        <v>13787.3465</v>
      </c>
      <c r="D66">
        <f t="shared" ref="D66:D69" si="2">C66-B66</f>
        <v>6.6816999999991822</v>
      </c>
      <c r="E66" t="s">
        <v>123</v>
      </c>
      <c r="F66">
        <v>9</v>
      </c>
      <c r="G66" t="str">
        <f>LOOKUP(Componenten[[#This Row],[id_initieel_mechanisme]],Faalmechanismen[id],Faalmechanismen[Initieel_mechanisme])</f>
        <v>Binnenwaartse macro-instabiliteit</v>
      </c>
      <c r="H66">
        <v>1</v>
      </c>
      <c r="I66">
        <v>1.0000000000000001E-15</v>
      </c>
      <c r="J66">
        <v>0.6</v>
      </c>
    </row>
    <row r="67" spans="1:10" x14ac:dyDescent="0.2">
      <c r="A67" s="2" t="s">
        <v>57</v>
      </c>
      <c r="B67">
        <v>13787.3465</v>
      </c>
      <c r="C67">
        <v>13801.1873</v>
      </c>
      <c r="D67">
        <f t="shared" si="2"/>
        <v>13.840799999999945</v>
      </c>
      <c r="E67" t="s">
        <v>124</v>
      </c>
      <c r="F67">
        <v>9</v>
      </c>
      <c r="G67" t="str">
        <f>LOOKUP(Componenten[[#This Row],[id_initieel_mechanisme]],Faalmechanismen[id],Faalmechanismen[Initieel_mechanisme])</f>
        <v>Binnenwaartse macro-instabiliteit</v>
      </c>
      <c r="H67">
        <v>1</v>
      </c>
      <c r="I67">
        <v>1.0000000000000001E-15</v>
      </c>
      <c r="J67">
        <v>0.6</v>
      </c>
    </row>
    <row r="68" spans="1:10" x14ac:dyDescent="0.2">
      <c r="A68" s="2" t="s">
        <v>57</v>
      </c>
      <c r="B68">
        <v>13801.1873</v>
      </c>
      <c r="C68">
        <v>14440</v>
      </c>
      <c r="D68">
        <f t="shared" si="2"/>
        <v>638.8127000000004</v>
      </c>
      <c r="E68" t="s">
        <v>125</v>
      </c>
      <c r="F68">
        <v>9</v>
      </c>
      <c r="G68" t="str">
        <f>LOOKUP(Componenten[[#This Row],[id_initieel_mechanisme]],Faalmechanismen[id],Faalmechanismen[Initieel_mechanisme])</f>
        <v>Binnenwaartse macro-instabiliteit</v>
      </c>
      <c r="H68">
        <v>1</v>
      </c>
      <c r="I68">
        <v>1.0000000000000001E-15</v>
      </c>
      <c r="J68">
        <v>0.6</v>
      </c>
    </row>
    <row r="69" spans="1:10" x14ac:dyDescent="0.2">
      <c r="A69" s="2" t="s">
        <v>57</v>
      </c>
      <c r="B69">
        <v>14440</v>
      </c>
      <c r="C69">
        <v>15076.9383</v>
      </c>
      <c r="D69">
        <f t="shared" si="2"/>
        <v>636.9382999999998</v>
      </c>
      <c r="E69" t="s">
        <v>126</v>
      </c>
      <c r="F69">
        <v>9</v>
      </c>
      <c r="G69" t="str">
        <f>LOOKUP(Componenten[[#This Row],[id_initieel_mechanisme]],Faalmechanismen[id],Faalmechanismen[Initieel_mechanisme])</f>
        <v>Binnenwaartse macro-instabiliteit</v>
      </c>
      <c r="H69">
        <v>1</v>
      </c>
      <c r="I69">
        <v>1.0000000000000001E-15</v>
      </c>
      <c r="J69">
        <v>0.6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="120" zoomScaleNormal="120" workbookViewId="0">
      <selection sqref="A1:I17"/>
    </sheetView>
  </sheetViews>
  <sheetFormatPr defaultColWidth="11.5703125" defaultRowHeight="12.75" customHeight="1" x14ac:dyDescent="0.2"/>
  <cols>
    <col min="2" max="2" width="43.140625" customWidth="1"/>
    <col min="3" max="3" width="38.140625" customWidth="1"/>
    <col min="4" max="4" width="21.42578125" customWidth="1"/>
    <col min="6" max="6" width="33.42578125" customWidth="1"/>
    <col min="7" max="7" width="30.28515625" customWidth="1"/>
    <col min="8" max="8" width="11.85546875" customWidth="1"/>
  </cols>
  <sheetData>
    <row r="1" spans="1:9" ht="12.75" customHeight="1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ht="12.75" customHeight="1" x14ac:dyDescent="0.2">
      <c r="A2">
        <v>1</v>
      </c>
      <c r="B2" t="s">
        <v>18</v>
      </c>
      <c r="C2" t="s">
        <v>19</v>
      </c>
      <c r="D2" t="s">
        <v>20</v>
      </c>
      <c r="E2">
        <v>5000</v>
      </c>
      <c r="F2" t="s">
        <v>21</v>
      </c>
      <c r="G2" t="s">
        <v>21</v>
      </c>
      <c r="H2">
        <v>0.7</v>
      </c>
      <c r="I2">
        <v>99000</v>
      </c>
    </row>
    <row r="3" spans="1:9" ht="12.75" customHeight="1" x14ac:dyDescent="0.2">
      <c r="A3">
        <v>2</v>
      </c>
      <c r="B3" t="s">
        <v>18</v>
      </c>
      <c r="C3" t="s">
        <v>22</v>
      </c>
      <c r="D3" t="s">
        <v>23</v>
      </c>
      <c r="E3">
        <v>5000</v>
      </c>
      <c r="F3" t="s">
        <v>21</v>
      </c>
      <c r="G3" t="s">
        <v>21</v>
      </c>
      <c r="H3">
        <v>0.7</v>
      </c>
      <c r="I3">
        <v>99000</v>
      </c>
    </row>
    <row r="4" spans="1:9" ht="12.75" customHeight="1" x14ac:dyDescent="0.2">
      <c r="A4">
        <v>3</v>
      </c>
      <c r="B4" t="s">
        <v>18</v>
      </c>
      <c r="C4" t="s">
        <v>24</v>
      </c>
      <c r="D4" t="s">
        <v>25</v>
      </c>
      <c r="E4">
        <v>5000</v>
      </c>
      <c r="F4" t="s">
        <v>21</v>
      </c>
      <c r="G4" t="s">
        <v>21</v>
      </c>
      <c r="H4">
        <v>0.7</v>
      </c>
      <c r="I4">
        <v>99000</v>
      </c>
    </row>
    <row r="5" spans="1:9" ht="12.75" customHeight="1" x14ac:dyDescent="0.2">
      <c r="A5">
        <v>4</v>
      </c>
      <c r="B5" t="s">
        <v>18</v>
      </c>
      <c r="C5" t="s">
        <v>26</v>
      </c>
      <c r="D5" t="s">
        <v>27</v>
      </c>
      <c r="E5">
        <v>5000</v>
      </c>
      <c r="F5" t="s">
        <v>21</v>
      </c>
      <c r="G5" t="s">
        <v>21</v>
      </c>
      <c r="H5">
        <v>0.7</v>
      </c>
      <c r="I5">
        <v>99000</v>
      </c>
    </row>
    <row r="6" spans="1:9" ht="12.75" customHeight="1" x14ac:dyDescent="0.2">
      <c r="A6">
        <v>5</v>
      </c>
      <c r="B6" t="s">
        <v>18</v>
      </c>
      <c r="C6" t="s">
        <v>28</v>
      </c>
      <c r="D6" t="s">
        <v>29</v>
      </c>
      <c r="E6">
        <v>5000</v>
      </c>
      <c r="F6" t="s">
        <v>21</v>
      </c>
      <c r="G6" t="s">
        <v>21</v>
      </c>
      <c r="H6">
        <v>0.7</v>
      </c>
      <c r="I6">
        <v>99000</v>
      </c>
    </row>
    <row r="7" spans="1:9" ht="12.75" customHeight="1" x14ac:dyDescent="0.2">
      <c r="A7">
        <v>6</v>
      </c>
      <c r="B7" t="s">
        <v>30</v>
      </c>
      <c r="C7" t="s">
        <v>31</v>
      </c>
      <c r="D7" t="s">
        <v>32</v>
      </c>
      <c r="E7">
        <v>5000</v>
      </c>
      <c r="F7" t="s">
        <v>21</v>
      </c>
      <c r="G7" t="s">
        <v>21</v>
      </c>
      <c r="H7">
        <v>0.7</v>
      </c>
      <c r="I7">
        <v>99000</v>
      </c>
    </row>
    <row r="8" spans="1:9" ht="12.75" customHeight="1" x14ac:dyDescent="0.2">
      <c r="A8">
        <v>7</v>
      </c>
      <c r="B8" t="s">
        <v>30</v>
      </c>
      <c r="C8" t="s">
        <v>33</v>
      </c>
      <c r="D8" t="s">
        <v>34</v>
      </c>
      <c r="E8">
        <v>5000</v>
      </c>
      <c r="F8" t="s">
        <v>21</v>
      </c>
      <c r="G8" t="s">
        <v>21</v>
      </c>
      <c r="H8">
        <v>0.7</v>
      </c>
      <c r="I8">
        <v>99000</v>
      </c>
    </row>
    <row r="9" spans="1:9" ht="12.75" customHeight="1" x14ac:dyDescent="0.2">
      <c r="A9">
        <v>8</v>
      </c>
      <c r="B9" t="s">
        <v>35</v>
      </c>
      <c r="C9" t="s">
        <v>36</v>
      </c>
      <c r="D9" t="s">
        <v>37</v>
      </c>
      <c r="E9">
        <v>300</v>
      </c>
      <c r="F9" t="s">
        <v>38</v>
      </c>
      <c r="G9" t="s">
        <v>38</v>
      </c>
      <c r="H9">
        <v>0.2</v>
      </c>
      <c r="I9">
        <v>350</v>
      </c>
    </row>
    <row r="10" spans="1:9" ht="12.75" customHeight="1" x14ac:dyDescent="0.2">
      <c r="A10">
        <v>9</v>
      </c>
      <c r="B10" t="s">
        <v>35</v>
      </c>
      <c r="C10" t="s">
        <v>39</v>
      </c>
      <c r="D10" t="s">
        <v>40</v>
      </c>
      <c r="E10">
        <v>50</v>
      </c>
      <c r="F10" t="s">
        <v>38</v>
      </c>
      <c r="G10" t="s">
        <v>38</v>
      </c>
      <c r="H10">
        <v>0.2</v>
      </c>
      <c r="I10">
        <v>100</v>
      </c>
    </row>
    <row r="11" spans="1:9" ht="12.75" customHeight="1" x14ac:dyDescent="0.2">
      <c r="A11">
        <v>10</v>
      </c>
      <c r="B11" t="s">
        <v>35</v>
      </c>
      <c r="C11" t="s">
        <v>41</v>
      </c>
      <c r="D11" t="s">
        <v>42</v>
      </c>
      <c r="E11">
        <v>50</v>
      </c>
      <c r="F11" t="s">
        <v>38</v>
      </c>
      <c r="G11" t="s">
        <v>38</v>
      </c>
      <c r="H11">
        <v>0.2</v>
      </c>
      <c r="I11">
        <v>100</v>
      </c>
    </row>
    <row r="12" spans="1:9" ht="12.75" customHeight="1" x14ac:dyDescent="0.2">
      <c r="A12">
        <v>11</v>
      </c>
      <c r="B12" t="s">
        <v>35</v>
      </c>
      <c r="C12" t="s">
        <v>43</v>
      </c>
      <c r="D12" t="s">
        <v>44</v>
      </c>
      <c r="E12">
        <v>50</v>
      </c>
      <c r="F12" t="s">
        <v>38</v>
      </c>
      <c r="G12" t="s">
        <v>38</v>
      </c>
      <c r="H12">
        <v>0.2</v>
      </c>
      <c r="I12">
        <v>100</v>
      </c>
    </row>
    <row r="13" spans="1:9" ht="12.75" customHeight="1" x14ac:dyDescent="0.2">
      <c r="A13">
        <v>12</v>
      </c>
      <c r="B13" t="s">
        <v>45</v>
      </c>
      <c r="C13" t="s">
        <v>46</v>
      </c>
      <c r="D13" t="s">
        <v>47</v>
      </c>
      <c r="E13">
        <v>5000</v>
      </c>
      <c r="F13" t="s">
        <v>21</v>
      </c>
      <c r="G13" t="s">
        <v>21</v>
      </c>
      <c r="H13">
        <v>0.1</v>
      </c>
      <c r="I13">
        <v>100</v>
      </c>
    </row>
    <row r="14" spans="1:9" ht="12.75" customHeight="1" x14ac:dyDescent="0.2">
      <c r="A14">
        <v>13</v>
      </c>
      <c r="B14" t="s">
        <v>45</v>
      </c>
      <c r="C14" t="s">
        <v>48</v>
      </c>
      <c r="D14" t="s">
        <v>49</v>
      </c>
      <c r="E14">
        <v>5000</v>
      </c>
      <c r="F14" t="s">
        <v>38</v>
      </c>
      <c r="G14" t="s">
        <v>21</v>
      </c>
      <c r="H14">
        <v>0.1</v>
      </c>
      <c r="I14">
        <v>100</v>
      </c>
    </row>
    <row r="15" spans="1:9" ht="12.75" customHeight="1" x14ac:dyDescent="0.2">
      <c r="A15">
        <v>14</v>
      </c>
      <c r="B15" t="s">
        <v>45</v>
      </c>
      <c r="C15" t="s">
        <v>50</v>
      </c>
      <c r="D15" t="s">
        <v>51</v>
      </c>
      <c r="E15">
        <v>5000</v>
      </c>
      <c r="F15" t="s">
        <v>38</v>
      </c>
      <c r="G15" t="s">
        <v>21</v>
      </c>
      <c r="H15">
        <v>0.1</v>
      </c>
      <c r="I15">
        <v>100</v>
      </c>
    </row>
    <row r="16" spans="1:9" ht="12.75" customHeight="1" x14ac:dyDescent="0.2">
      <c r="A16">
        <v>15</v>
      </c>
      <c r="B16" t="s">
        <v>45</v>
      </c>
      <c r="C16" t="s">
        <v>52</v>
      </c>
      <c r="D16" t="s">
        <v>53</v>
      </c>
      <c r="E16">
        <v>5000</v>
      </c>
      <c r="F16" t="s">
        <v>38</v>
      </c>
      <c r="G16" t="s">
        <v>21</v>
      </c>
      <c r="H16">
        <v>0.1</v>
      </c>
      <c r="I16">
        <v>100</v>
      </c>
    </row>
    <row r="17" spans="1:9" ht="12.75" customHeight="1" x14ac:dyDescent="0.2">
      <c r="A17">
        <v>16</v>
      </c>
      <c r="B17" t="s">
        <v>54</v>
      </c>
      <c r="C17" t="s">
        <v>55</v>
      </c>
      <c r="D17" t="s">
        <v>56</v>
      </c>
      <c r="E17">
        <v>500</v>
      </c>
      <c r="F17" t="s">
        <v>38</v>
      </c>
      <c r="G17" t="s">
        <v>21</v>
      </c>
      <c r="H17">
        <v>0.3</v>
      </c>
      <c r="I17">
        <v>750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componenten</vt:lpstr>
      <vt:lpstr>faalmechanismen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Kapinga, Sander</cp:lastModifiedBy>
  <cp:revision>6</cp:revision>
  <dcterms:created xsi:type="dcterms:W3CDTF">2025-09-26T09:23:37Z</dcterms:created>
  <dcterms:modified xsi:type="dcterms:W3CDTF">2025-10-16T13:05:27Z</dcterms:modified>
  <dc:language>nl-NL</dc:language>
</cp:coreProperties>
</file>