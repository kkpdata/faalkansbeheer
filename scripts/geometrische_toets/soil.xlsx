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P:\PR\5536.10\Uitvoering\04 - Fase 1\04 - Analyse\05_dstab\Python automatisering\"/>
    </mc:Choice>
  </mc:AlternateContent>
  <xr:revisionPtr revIDLastSave="0" documentId="13_ncr:1_{D97C0BBB-EB4E-415C-9F01-09FB93BF5E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rameterset" sheetId="1" r:id="rId1"/>
    <sheet name="SuTabel_T" sheetId="7" r:id="rId2"/>
    <sheet name="SuTabel_Kz" sheetId="5" r:id="rId3"/>
    <sheet name="SuTabel_Dk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C2" i="2" s="1"/>
  <c r="C2" i="7" s="1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15" i="2"/>
  <c r="C15" i="7" s="1"/>
  <c r="B15" i="7" s="1"/>
  <c r="B4" i="2"/>
  <c r="C4" i="2" s="1"/>
  <c r="B5" i="2"/>
  <c r="C5" i="2" s="1"/>
  <c r="C5" i="7" s="1"/>
  <c r="B5" i="7" s="1"/>
  <c r="B6" i="2"/>
  <c r="C6" i="2" s="1"/>
  <c r="C6" i="7" s="1"/>
  <c r="B6" i="7" s="1"/>
  <c r="B7" i="2"/>
  <c r="C7" i="2" s="1"/>
  <c r="C7" i="7" s="1"/>
  <c r="B7" i="7" s="1"/>
  <c r="B8" i="2"/>
  <c r="C8" i="2" s="1"/>
  <c r="C8" i="7" s="1"/>
  <c r="B8" i="7" s="1"/>
  <c r="B9" i="2"/>
  <c r="C9" i="2" s="1"/>
  <c r="C9" i="7" s="1"/>
  <c r="B9" i="7" s="1"/>
  <c r="B10" i="2"/>
  <c r="C10" i="2" s="1"/>
  <c r="C10" i="7" s="1"/>
  <c r="B10" i="7" s="1"/>
  <c r="B11" i="2"/>
  <c r="C11" i="2" s="1"/>
  <c r="C11" i="7" s="1"/>
  <c r="B11" i="7" s="1"/>
  <c r="B12" i="2"/>
  <c r="C12" i="2" s="1"/>
  <c r="C12" i="7" s="1"/>
  <c r="B12" i="7" s="1"/>
  <c r="B13" i="2"/>
  <c r="C13" i="2" s="1"/>
  <c r="C13" i="7" s="1"/>
  <c r="B13" i="7" s="1"/>
  <c r="B14" i="2"/>
  <c r="C14" i="2" s="1"/>
  <c r="C14" i="7" s="1"/>
  <c r="B14" i="7" s="1"/>
  <c r="B15" i="2"/>
  <c r="B16" i="2"/>
  <c r="C16" i="2" s="1"/>
  <c r="C16" i="7" s="1"/>
  <c r="B16" i="7" s="1"/>
  <c r="B17" i="2"/>
  <c r="C17" i="2" s="1"/>
  <c r="C17" i="7" s="1"/>
  <c r="B17" i="7" s="1"/>
  <c r="B18" i="2"/>
  <c r="C18" i="2" s="1"/>
  <c r="C18" i="7" s="1"/>
  <c r="B18" i="7" s="1"/>
  <c r="B19" i="2"/>
  <c r="C19" i="2" s="1"/>
  <c r="C19" i="7" s="1"/>
  <c r="B19" i="7" s="1"/>
  <c r="B20" i="2"/>
  <c r="C20" i="2" s="1"/>
  <c r="C20" i="7" s="1"/>
  <c r="B20" i="7" s="1"/>
  <c r="B21" i="2"/>
  <c r="C21" i="2" s="1"/>
  <c r="B22" i="2"/>
  <c r="C22" i="2" s="1"/>
  <c r="B3" i="2"/>
  <c r="C3" i="2" s="1"/>
  <c r="C3" i="7" s="1"/>
  <c r="B5" i="5"/>
  <c r="B3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" i="2"/>
  <c r="A4" i="7"/>
  <c r="A5" i="7"/>
  <c r="A3" i="7"/>
  <c r="A2" i="7"/>
  <c r="M8" i="1"/>
  <c r="L8" i="1"/>
  <c r="K8" i="1"/>
  <c r="C4" i="7" l="1"/>
  <c r="B4" i="7" s="1"/>
  <c r="B3" i="7"/>
  <c r="B2" i="7"/>
  <c r="A6" i="7"/>
  <c r="A7" i="7" l="1"/>
  <c r="A8" i="7" l="1"/>
  <c r="A9" i="7" l="1"/>
  <c r="A10" i="7" l="1"/>
  <c r="A11" i="7" l="1"/>
  <c r="A12" i="7" l="1"/>
  <c r="A13" i="7" l="1"/>
  <c r="A14" i="7" l="1"/>
  <c r="A15" i="7" l="1"/>
  <c r="A16" i="7" l="1"/>
  <c r="A17" i="7" l="1"/>
  <c r="A18" i="7" l="1"/>
  <c r="A19" i="7" l="1"/>
  <c r="A20" i="7"/>
</calcChain>
</file>

<file path=xl/sharedStrings.xml><?xml version="1.0" encoding="utf-8"?>
<sst xmlns="http://schemas.openxmlformats.org/spreadsheetml/2006/main" count="167" uniqueCount="102">
  <si>
    <t>Grondsoort</t>
  </si>
  <si>
    <t>Code</t>
  </si>
  <si>
    <t>color</t>
  </si>
  <si>
    <t>dash</t>
  </si>
  <si>
    <t>Vgverzadigd</t>
  </si>
  <si>
    <t>Vgonverzadigd</t>
  </si>
  <si>
    <t>MODEL_BFL</t>
  </si>
  <si>
    <t>MODEL_OFL</t>
  </si>
  <si>
    <t>Cohesie</t>
  </si>
  <si>
    <t>Cohesie kar</t>
  </si>
  <si>
    <t>Phi gem</t>
  </si>
  <si>
    <t>Phi kar</t>
  </si>
  <si>
    <t>Phi STDEV_prob</t>
  </si>
  <si>
    <t>S gem</t>
  </si>
  <si>
    <t>S kar</t>
  </si>
  <si>
    <t>S STDEV_prob</t>
  </si>
  <si>
    <t>m gem</t>
  </si>
  <si>
    <t>m kar</t>
  </si>
  <si>
    <t>m STDEV_prob</t>
  </si>
  <si>
    <t>POP gem</t>
  </si>
  <si>
    <t>POP kar</t>
  </si>
  <si>
    <t>POP STDEV_prob</t>
  </si>
  <si>
    <t>Basisveen</t>
  </si>
  <si>
    <t>Dijksmateriaal zand</t>
  </si>
  <si>
    <t>Klei siltig</t>
  </si>
  <si>
    <t>Klei siltig humeus</t>
  </si>
  <si>
    <t>Klei sterk organisch</t>
  </si>
  <si>
    <t>Ophoogmateriaal klei</t>
  </si>
  <si>
    <t>Ophoogmateriaal zand</t>
  </si>
  <si>
    <t>Veen Kleiig</t>
  </si>
  <si>
    <t>Veen mineraalarm</t>
  </si>
  <si>
    <t>Zand</t>
  </si>
  <si>
    <t>Granuligth</t>
  </si>
  <si>
    <t>Zand gelaagd</t>
  </si>
  <si>
    <t>Zand tussenlaag (watervoerend)</t>
  </si>
  <si>
    <t>Zand Gefundeerd (watervoerend)</t>
  </si>
  <si>
    <t>Zand pleistoceen (watervoerend)</t>
  </si>
  <si>
    <t>BV</t>
  </si>
  <si>
    <t>Dz</t>
  </si>
  <si>
    <t>Ks</t>
  </si>
  <si>
    <t>Kh</t>
  </si>
  <si>
    <t>Ko</t>
  </si>
  <si>
    <t>K_oph</t>
  </si>
  <si>
    <t>Z_oph</t>
  </si>
  <si>
    <t>Vk</t>
  </si>
  <si>
    <t>V</t>
  </si>
  <si>
    <t>Z</t>
  </si>
  <si>
    <t>G</t>
  </si>
  <si>
    <t>Zg</t>
  </si>
  <si>
    <t>ZTL</t>
  </si>
  <si>
    <t>Z_f</t>
  </si>
  <si>
    <t>ZPL</t>
  </si>
  <si>
    <t>MohrCoulombAdvanced</t>
  </si>
  <si>
    <t>DOT_A</t>
  </si>
  <si>
    <t>DOT_B</t>
  </si>
  <si>
    <t>DOT_D</t>
  </si>
  <si>
    <t>DOT_C</t>
  </si>
  <si>
    <t>HORIZONTAL_A</t>
  </si>
  <si>
    <t>DIAGONAL_C</t>
  </si>
  <si>
    <t>DIAGONAL_A</t>
  </si>
  <si>
    <t>DIAGONAL_B</t>
  </si>
  <si>
    <t>DIAGONAL_D</t>
  </si>
  <si>
    <t>HORIZONTAL_B</t>
  </si>
  <si>
    <t>#FFFFD66D</t>
  </si>
  <si>
    <t>#FF8B6A4A</t>
  </si>
  <si>
    <t>#FF8A6FA8</t>
  </si>
  <si>
    <t>#FF9C7BB8</t>
  </si>
  <si>
    <t>#FF7FA67A</t>
  </si>
  <si>
    <t>#FF5F8F5A</t>
  </si>
  <si>
    <t>#FF8FB6D8</t>
  </si>
  <si>
    <t>#FFB8D9F2</t>
  </si>
  <si>
    <t>#FF9A7A5A</t>
  </si>
  <si>
    <t>#FF7A5A3A</t>
  </si>
  <si>
    <t>#FF7A7A7A</t>
  </si>
  <si>
    <t>#FFB6C98A</t>
  </si>
  <si>
    <t>#FFC8D98A</t>
  </si>
  <si>
    <t>#FFFFE58A</t>
  </si>
  <si>
    <t>#FFFFD95A</t>
  </si>
  <si>
    <t>#FFE6C84A</t>
  </si>
  <si>
    <t>Su</t>
  </si>
  <si>
    <t>SuTable</t>
  </si>
  <si>
    <t>sigma_eff</t>
  </si>
  <si>
    <t>su_mean</t>
  </si>
  <si>
    <t>su_kar</t>
  </si>
  <si>
    <t>param</t>
  </si>
  <si>
    <t>value</t>
  </si>
  <si>
    <t>sutable_prob</t>
  </si>
  <si>
    <t>m_kar</t>
  </si>
  <si>
    <t>m_mean</t>
  </si>
  <si>
    <t>m_stdv</t>
  </si>
  <si>
    <t>m_prob</t>
  </si>
  <si>
    <t>var_coeff_sutable</t>
  </si>
  <si>
    <t>AddState</t>
  </si>
  <si>
    <t>Dijksmateriaal klei</t>
  </si>
  <si>
    <t>Klei zandig</t>
  </si>
  <si>
    <t>Kz</t>
  </si>
  <si>
    <t>T</t>
  </si>
  <si>
    <t>Dk</t>
  </si>
  <si>
    <t>Toplaag</t>
  </si>
  <si>
    <t>POP gem kruin</t>
  </si>
  <si>
    <t>POP kar kruin</t>
  </si>
  <si>
    <t>POP STDEV_prob kruin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</si>
</sst>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3" borderId="1" xfId="0" applyFont="1" applyFill="1" applyBorder="1"/>
    <xf numFmtId="1" fontId="0" fillId="0" borderId="0" xfId="0" applyNumberFormat="1" applyAlignment="1">
      <alignment horizontal="right" vertical="center"/>
    </xf>
    <xf numFmtId="2" fontId="0" fillId="0" borderId="0" xfId="0" applyNumberFormat="1"/>
    <xf numFmtId="164" fontId="0" fillId="0" borderId="0" xfId="0" applyNumberFormat="1"/>
    <xf numFmtId="0" fontId="3" fillId="3" borderId="3" xfId="0" applyFont="1" applyFill="1" applyBorder="1"/>
    <xf numFmtId="2" fontId="0" fillId="2" borderId="2" xfId="0" applyNumberFormat="1" applyFill="1" applyBorder="1"/>
    <xf numFmtId="2" fontId="0" fillId="0" borderId="2" xfId="0" applyNumberFormat="1" applyBorder="1"/>
    <xf numFmtId="2" fontId="0" fillId="2" borderId="4" xfId="0" applyNumberFormat="1" applyFill="1" applyBorder="1"/>
    <xf numFmtId="2" fontId="0" fillId="0" borderId="4" xfId="0" applyNumberFormat="1" applyBorder="1"/>
  </cellXfs>
  <cellStyles count="1">
    <cellStyle name="Standaard" xfId="0" builtinId="0"/>
  </cellStyles>
  <dxfs count="4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"/>
    </dxf>
    <dxf>
      <numFmt numFmtId="1" formatCode="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z val="1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SuTabel_T!$B$1</c:f>
              <c:strCache>
                <c:ptCount val="1"/>
                <c:pt idx="0">
                  <c:v>su_mean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SuTabel_T!$A$2:$A$20</c:f>
              <c:numCache>
                <c:formatCode>General</c:formatCode>
                <c:ptCount val="19"/>
                <c:pt idx="0">
                  <c:v>1</c:v>
                </c:pt>
                <c:pt idx="1">
                  <c:v>9.2799999999999994</c:v>
                </c:pt>
                <c:pt idx="2">
                  <c:v>10</c:v>
                </c:pt>
                <c:pt idx="3">
                  <c:v>18.559999999999999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100</c:v>
                </c:pt>
                <c:pt idx="13">
                  <c:v>110</c:v>
                </c:pt>
                <c:pt idx="14">
                  <c:v>120</c:v>
                </c:pt>
                <c:pt idx="15">
                  <c:v>130</c:v>
                </c:pt>
                <c:pt idx="16">
                  <c:v>140</c:v>
                </c:pt>
                <c:pt idx="17">
                  <c:v>150</c:v>
                </c:pt>
                <c:pt idx="18">
                  <c:v>160</c:v>
                </c:pt>
              </c:numCache>
            </c:numRef>
          </c:xVal>
          <c:yVal>
            <c:numRef>
              <c:f>SuTabel_T!$B$2:$B$20</c:f>
              <c:numCache>
                <c:formatCode>0.0</c:formatCode>
                <c:ptCount val="19"/>
                <c:pt idx="0">
                  <c:v>7.0054713120221903</c:v>
                </c:pt>
                <c:pt idx="1">
                  <c:v>7.0054713120221903</c:v>
                </c:pt>
                <c:pt idx="2">
                  <c:v>8.2934806067790898</c:v>
                </c:pt>
                <c:pt idx="3">
                  <c:v>23.606479999999998</c:v>
                </c:pt>
                <c:pt idx="4">
                  <c:v>24.77</c:v>
                </c:pt>
                <c:pt idx="5">
                  <c:v>31.22</c:v>
                </c:pt>
                <c:pt idx="6">
                  <c:v>36.799999999999997</c:v>
                </c:pt>
                <c:pt idx="7">
                  <c:v>41.82</c:v>
                </c:pt>
                <c:pt idx="8">
                  <c:v>46.43</c:v>
                </c:pt>
                <c:pt idx="9">
                  <c:v>50.73</c:v>
                </c:pt>
                <c:pt idx="10">
                  <c:v>54.78</c:v>
                </c:pt>
                <c:pt idx="11">
                  <c:v>58.610000000000007</c:v>
                </c:pt>
                <c:pt idx="12">
                  <c:v>62.280000000000008</c:v>
                </c:pt>
                <c:pt idx="13">
                  <c:v>65.790000000000006</c:v>
                </c:pt>
                <c:pt idx="14">
                  <c:v>69.17</c:v>
                </c:pt>
                <c:pt idx="15">
                  <c:v>72.430000000000007</c:v>
                </c:pt>
                <c:pt idx="16">
                  <c:v>75.59</c:v>
                </c:pt>
                <c:pt idx="17">
                  <c:v>78.66</c:v>
                </c:pt>
                <c:pt idx="18">
                  <c:v>81.650000000000006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1D-47D7-972A-FB9E4B70A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260400"/>
        <c:axId val="647255120"/>
      </c:scatterChart>
      <c:valAx>
        <c:axId val="64726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47255120"/>
        <c:crosses val="autoZero"/>
        <c:crossBetween val="midCat"/>
      </c:valAx>
      <c:valAx>
        <c:axId val="6472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4726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3</xdr:row>
      <xdr:rowOff>128587</xdr:rowOff>
    </xdr:from>
    <xdr:to>
      <xdr:col>17</xdr:col>
      <xdr:colOff>523875</xdr:colOff>
      <xdr:row>16</xdr:row>
      <xdr:rowOff>14287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A8390A27-9E89-433E-1DA4-63BE63A37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428F6D-4405-4699-A0BC-F2522AC34D0B}" name="Tabel1" displayName="Tabel1" ref="A1:Z19" totalsRowShown="0" headerRowDxfId="44" dataDxfId="43">
  <autoFilter ref="A1:Z19" xr:uid="{37428F6D-4405-4699-A0BC-F2522AC34D0B}"/>
  <tableColumns count="26">
    <tableColumn id="1" xr3:uid="{E8E794D5-136A-44BE-99E6-498BCF702DEA}" name="Grondsoort" dataDxfId="42"/>
    <tableColumn id="2" xr3:uid="{38F62158-C09C-4778-AEB9-CB48F61E4502}" name="Code" dataDxfId="41"/>
    <tableColumn id="3" xr3:uid="{836E842F-9EEA-409B-BC26-4097267C675A}" name="color" dataDxfId="40"/>
    <tableColumn id="4" xr3:uid="{4868ABD7-F7C8-4B4A-A06D-B72AADEDA8C4}" name="dash" dataDxfId="39"/>
    <tableColumn id="5" xr3:uid="{603B32F5-342D-4F1E-8204-0E1EE971167E}" name="Vgverzadigd" dataDxfId="38"/>
    <tableColumn id="6" xr3:uid="{B5D5400C-AEB6-49BB-8102-9A1C6E708172}" name="Vgonverzadigd" dataDxfId="37"/>
    <tableColumn id="7" xr3:uid="{7F1EB48A-A5C5-46F7-87F2-E9D1C5E51EEA}" name="MODEL_BFL" dataDxfId="36"/>
    <tableColumn id="8" xr3:uid="{911B5539-ECAB-4A93-A123-70866741EE89}" name="MODEL_OFL" dataDxfId="35"/>
    <tableColumn id="9" xr3:uid="{564FC22C-3A8D-4EE5-95AD-3EE02272B79D}" name="Cohesie" dataDxfId="34"/>
    <tableColumn id="10" xr3:uid="{1BF472DD-6672-4988-AF8B-16EA42468298}" name="Cohesie kar" dataDxfId="33"/>
    <tableColumn id="11" xr3:uid="{A8831FF5-A502-4884-B87C-9E54BD6130E7}" name="Phi gem" dataDxfId="32"/>
    <tableColumn id="12" xr3:uid="{FAE2D627-9AE6-4F4D-B62E-39CBB5C696CC}" name="Phi kar" dataDxfId="31"/>
    <tableColumn id="13" xr3:uid="{075BD9E2-A656-47E4-8B82-D86E16ABE447}" name="Phi STDEV_prob" dataDxfId="30"/>
    <tableColumn id="14" xr3:uid="{CBFC7B07-EAF7-447C-BE33-04AA7B91A97F}" name="S gem" dataDxfId="29"/>
    <tableColumn id="15" xr3:uid="{AF0105B2-FF6E-4FF8-A079-A1D4017B5ACA}" name="S kar" dataDxfId="28"/>
    <tableColumn id="16" xr3:uid="{94F7ED7B-AF84-4C63-8C5B-A45CE8067740}" name="S STDEV_prob" dataDxfId="27"/>
    <tableColumn id="17" xr3:uid="{E0D05EED-0A6C-4693-A3BF-71308B68EB64}" name="m gem" dataDxfId="26"/>
    <tableColumn id="18" xr3:uid="{E0D3A45A-48AF-43BF-AAE2-2EAC264698E9}" name="m kar" dataDxfId="25"/>
    <tableColumn id="19" xr3:uid="{4C711706-2763-46C0-B8B5-9F1CE0A92ED2}" name="m STDEV_prob" dataDxfId="24"/>
    <tableColumn id="20" xr3:uid="{3BCE5424-6224-4020-8FAD-38D291A6D46F}" name="POP gem" dataDxfId="23"/>
    <tableColumn id="21" xr3:uid="{1CCBD216-C319-4A27-9E0E-C40D306056C2}" name="POP kar" dataDxfId="22"/>
    <tableColumn id="22" xr3:uid="{625C8A8C-48D2-4BFF-8A56-1BCBE8E16EA6}" name="POP STDEV_prob" dataDxfId="21"/>
    <tableColumn id="23" xr3:uid="{5E90DD8A-2676-4902-94E1-0D27DA133C17}" name="POP gem kruin" dataDxfId="20"/>
    <tableColumn id="24" xr3:uid="{6CBD322F-4937-4E41-844D-6502ED80748A}" name="POP kar kruin" dataDxfId="19"/>
    <tableColumn id="25" xr3:uid="{08ED49D3-25BE-4ADB-AB56-D3079573ED6C}" name="POP STDEV_prob kruin" dataDxfId="18"/>
    <tableColumn id="26" xr3:uid="{19B1EFB4-876A-44D3-BA6C-589C21D61A9E}" name="AddState" dataDxfId="17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400E75-4393-4CB0-AEF5-68F12FC5E2A4}" name="Tabel3813" displayName="Tabel3813" ref="A1:B20" totalsRowShown="0">
  <autoFilter ref="A1:B20" xr:uid="{EBD18CEE-1E70-4AD8-B2DF-2C9941D4F307}"/>
  <tableColumns count="2">
    <tableColumn id="1" xr3:uid="{E51E81D8-DA9D-4D8C-93D8-937DBF0772C6}" name="sigma_eff">
      <calculatedColumnFormula>Tabel363[[#This Row],[sigma_eff]]</calculatedColumnFormula>
    </tableColumn>
    <tableColumn id="2" xr3:uid="{028EEDB7-F42C-473D-88C7-AF3FDABF537C}" name="su_mean" dataDxfId="16">
      <calculatedColumnFormula>C2/EXP(-1.645*SQRT(LN(1+$E$7^2)) - 0.5*LN(1+$E$7^2))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21A4A76-1209-46BD-90A8-5B8142C40B3F}" name="Tabel4914" displayName="Tabel4914" ref="D1:E8" totalsRowShown="0" dataDxfId="15">
  <autoFilter ref="D1:E8" xr:uid="{38663AB3-FD83-4626-97CD-6FA511989D81}"/>
  <tableColumns count="2">
    <tableColumn id="1" xr3:uid="{17168B23-F7E7-4FD3-BCC5-F2031B852EF5}" name="param" dataDxfId="14"/>
    <tableColumn id="2" xr3:uid="{471B363F-80F0-435C-8EDA-569FE253617B}" name="value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4E61DB-0A33-4A39-A69A-BA566067393E}" name="Tabel363" displayName="Tabel363" ref="A1:B22" totalsRowShown="0">
  <autoFilter ref="A1:B22" xr:uid="{EBD18CEE-1E70-4AD8-B2DF-2C9941D4F307}"/>
  <tableColumns count="2">
    <tableColumn id="1" xr3:uid="{5E5B225E-9693-4DF1-A37C-DC5DA3C3B16B}" name="sigma_eff"/>
    <tableColumn id="2" xr3:uid="{BAFE4365-E788-4A8E-9A1F-336C9F727FF1}" name="su_mea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744D1C5-0F80-46BC-B3E0-752ED9ADC302}" name="Tabel4710" displayName="Tabel4710" ref="D1:E8" totalsRowShown="0" dataDxfId="12">
  <autoFilter ref="D1:E8" xr:uid="{38663AB3-FD83-4626-97CD-6FA511989D81}"/>
  <tableColumns count="2">
    <tableColumn id="1" xr3:uid="{065F5746-FB84-4F21-BFDA-912B96536E8D}" name="param" dataDxfId="11"/>
    <tableColumn id="2" xr3:uid="{01EF79FE-DD9E-4B2B-94AA-032DCF36B829}" name="value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7186DA-8F0F-408A-9DDE-DE2B720D06D1}" name="Tabel5" displayName="Tabel5" ref="C1:C22" totalsRowShown="0" headerRowDxfId="9" dataDxfId="7" headerRowBorderDxfId="8" tableBorderDxfId="6" totalsRowBorderDxfId="5">
  <autoFilter ref="C1:C22" xr:uid="{4C7186DA-8F0F-408A-9DDE-DE2B720D06D1}"/>
  <tableColumns count="1">
    <tableColumn id="1" xr3:uid="{CB76FDCA-9E92-44AC-B786-61D795A43B48}" name="su_kar" dataDxfId="4">
      <calculatedColumnFormula>B2*EXP(-1.645*SQRT(LN(1+$E$7^2)) - 0.5*LN(1+$E$7^2))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D18CEE-1E70-4AD8-B2DF-2C9941D4F307}" name="Tabel3" displayName="Tabel3" ref="A1:B22" totalsRowShown="0">
  <autoFilter ref="A1:B22" xr:uid="{EBD18CEE-1E70-4AD8-B2DF-2C9941D4F307}"/>
  <tableColumns count="2">
    <tableColumn id="1" xr3:uid="{063AC70E-357E-43C7-9DFE-6FF68FAF16D7}" name="sigma_eff"/>
    <tableColumn id="2" xr3:uid="{5244AF63-6A9F-4781-8172-3EC3F2A0FF5D}" name="su_mean" dataDxfId="3">
      <calculatedColumnFormula>Tabel363[[#This Row],[su_mean]]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663AB3-FD83-4626-97CD-6FA511989D81}" name="Tabel4" displayName="Tabel4" ref="D1:E7" totalsRowShown="0" dataDxfId="2">
  <autoFilter ref="D1:E7" xr:uid="{38663AB3-FD83-4626-97CD-6FA511989D81}"/>
  <tableColumns count="2">
    <tableColumn id="1" xr3:uid="{E3328432-0F1A-41CE-9CB0-F33BFE8617A8}" name="param" dataDxfId="1"/>
    <tableColumn id="2" xr3:uid="{AD6D46FA-AF4C-4AA8-B647-F983A84BF3A8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"/>
  <sheetViews>
    <sheetView tabSelected="1" zoomScale="85" zoomScaleNormal="85" workbookViewId="0">
      <pane xSplit="1" topLeftCell="E1" activePane="topRight" state="frozen"/>
      <selection pane="topRight" activeCell="V20" sqref="V20"/>
    </sheetView>
  </sheetViews>
  <sheetFormatPr defaultRowHeight="15"/>
  <cols>
    <col min="1" max="1" width="35" customWidth="1"/>
    <col min="2" max="2" width="10.140625" bestFit="1" customWidth="1"/>
    <col min="3" max="3" width="14.5703125" customWidth="1"/>
    <col min="4" max="4" width="14.85546875" bestFit="1" customWidth="1"/>
    <col min="5" max="5" width="14" customWidth="1"/>
    <col min="6" max="6" width="16.28515625" customWidth="1"/>
    <col min="7" max="7" width="13.5703125" customWidth="1"/>
    <col min="8" max="8" width="13.85546875" customWidth="1"/>
    <col min="9" max="9" width="10.28515625" customWidth="1"/>
    <col min="10" max="10" width="13.42578125" customWidth="1"/>
    <col min="11" max="11" width="8.140625" bestFit="1" customWidth="1"/>
    <col min="12" max="12" width="7" bestFit="1" customWidth="1"/>
    <col min="13" max="13" width="15.140625" bestFit="1" customWidth="1"/>
    <col min="16" max="16" width="15.28515625" customWidth="1"/>
    <col min="17" max="17" width="10.28515625" bestFit="1" customWidth="1"/>
    <col min="18" max="18" width="6" bestFit="1" customWidth="1"/>
    <col min="19" max="19" width="14.140625" bestFit="1" customWidth="1"/>
    <col min="20" max="20" width="9" bestFit="1" customWidth="1"/>
    <col min="21" max="21" width="10" customWidth="1"/>
    <col min="22" max="22" width="18" customWidth="1"/>
  </cols>
  <sheetData>
    <row r="1" spans="1:26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99</v>
      </c>
      <c r="X1" s="9" t="s">
        <v>100</v>
      </c>
      <c r="Y1" s="9" t="s">
        <v>101</v>
      </c>
      <c r="Z1" s="9" t="s">
        <v>92</v>
      </c>
    </row>
    <row r="2" spans="1:26">
      <c r="A2" s="3" t="s">
        <v>22</v>
      </c>
      <c r="B2" s="3" t="s">
        <v>37</v>
      </c>
      <c r="C2" s="7" t="s">
        <v>64</v>
      </c>
      <c r="D2" s="2" t="s">
        <v>57</v>
      </c>
      <c r="E2" s="4">
        <v>12</v>
      </c>
      <c r="F2" s="4">
        <v>12</v>
      </c>
      <c r="G2" s="3" t="s">
        <v>79</v>
      </c>
      <c r="H2" s="3" t="s">
        <v>79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0.4</v>
      </c>
      <c r="O2" s="4">
        <v>0.35</v>
      </c>
      <c r="P2" s="4">
        <v>3.2000000000000001E-2</v>
      </c>
      <c r="Q2" s="4">
        <v>0.5</v>
      </c>
      <c r="R2" s="4">
        <v>0.5</v>
      </c>
      <c r="S2" s="4">
        <v>0</v>
      </c>
      <c r="T2" s="4">
        <v>26</v>
      </c>
      <c r="U2" s="4">
        <v>16.248000000000001</v>
      </c>
      <c r="V2" s="4">
        <v>7</v>
      </c>
      <c r="W2" s="4">
        <v>43</v>
      </c>
      <c r="X2" s="4">
        <v>28.713000000000001</v>
      </c>
      <c r="Y2" s="4">
        <v>10</v>
      </c>
      <c r="Z2" s="11">
        <v>1</v>
      </c>
    </row>
    <row r="3" spans="1:26">
      <c r="A3" s="3" t="s">
        <v>93</v>
      </c>
      <c r="B3" s="3" t="s">
        <v>97</v>
      </c>
      <c r="C3" s="7" t="s">
        <v>65</v>
      </c>
      <c r="D3" s="2" t="s">
        <v>61</v>
      </c>
      <c r="E3" s="4">
        <v>18.559999999999999</v>
      </c>
      <c r="F3" s="4">
        <v>18.559999999999999</v>
      </c>
      <c r="G3" s="3" t="s">
        <v>80</v>
      </c>
      <c r="H3" s="3" t="s">
        <v>80</v>
      </c>
      <c r="I3" s="4">
        <v>0</v>
      </c>
      <c r="J3" s="4">
        <v>0</v>
      </c>
      <c r="K3" s="4">
        <v>36.200000000000003</v>
      </c>
      <c r="L3" s="4">
        <v>33.630000000000003</v>
      </c>
      <c r="M3" s="4">
        <v>1.6</v>
      </c>
      <c r="N3" s="4">
        <v>0</v>
      </c>
      <c r="O3" s="4">
        <v>0</v>
      </c>
      <c r="P3" s="4">
        <v>0</v>
      </c>
      <c r="Q3" s="4">
        <v>0.44</v>
      </c>
      <c r="R3" s="4">
        <v>0.44</v>
      </c>
      <c r="S3" s="4">
        <v>0</v>
      </c>
      <c r="T3" s="4"/>
      <c r="U3" s="4"/>
      <c r="V3" s="4"/>
      <c r="W3" s="4"/>
      <c r="X3" s="4"/>
      <c r="Y3" s="4"/>
      <c r="Z3" s="11">
        <v>0</v>
      </c>
    </row>
    <row r="4" spans="1:26">
      <c r="A4" s="3" t="s">
        <v>23</v>
      </c>
      <c r="B4" s="3" t="s">
        <v>38</v>
      </c>
      <c r="C4" s="7" t="s">
        <v>66</v>
      </c>
      <c r="D4" s="2" t="s">
        <v>54</v>
      </c>
      <c r="E4" s="4">
        <v>18.559999999999999</v>
      </c>
      <c r="F4" s="4">
        <v>18.559999999999999</v>
      </c>
      <c r="G4" s="3" t="s">
        <v>52</v>
      </c>
      <c r="H4" s="3" t="s">
        <v>52</v>
      </c>
      <c r="I4" s="4">
        <v>0</v>
      </c>
      <c r="J4" s="4">
        <v>0</v>
      </c>
      <c r="K4" s="4">
        <v>34</v>
      </c>
      <c r="L4" s="4">
        <v>32.402999999999999</v>
      </c>
      <c r="M4" s="4">
        <v>0.98599999999999999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/>
      <c r="U4" s="4"/>
      <c r="V4" s="4"/>
      <c r="W4" s="4"/>
      <c r="X4" s="4"/>
      <c r="Y4" s="4"/>
      <c r="Z4" s="11">
        <v>0</v>
      </c>
    </row>
    <row r="5" spans="1:26">
      <c r="A5" s="3" t="s">
        <v>24</v>
      </c>
      <c r="B5" s="3" t="s">
        <v>39</v>
      </c>
      <c r="C5" s="7" t="s">
        <v>74</v>
      </c>
      <c r="D5" s="2" t="s">
        <v>59</v>
      </c>
      <c r="E5" s="4">
        <v>16.86</v>
      </c>
      <c r="F5" s="4">
        <v>16.86</v>
      </c>
      <c r="G5" s="3" t="s">
        <v>79</v>
      </c>
      <c r="H5" s="3" t="s">
        <v>79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0.31</v>
      </c>
      <c r="O5" s="4">
        <v>0.27400000000000002</v>
      </c>
      <c r="P5" s="4">
        <v>2.3E-2</v>
      </c>
      <c r="Q5" s="4">
        <v>0.9</v>
      </c>
      <c r="R5" s="4">
        <v>0.9</v>
      </c>
      <c r="S5" s="4">
        <v>0</v>
      </c>
      <c r="T5" s="4">
        <v>26</v>
      </c>
      <c r="U5" s="4">
        <v>16.248000000000001</v>
      </c>
      <c r="V5" s="4">
        <v>7</v>
      </c>
      <c r="W5" s="4">
        <v>43</v>
      </c>
      <c r="X5" s="4">
        <v>28.713000000000001</v>
      </c>
      <c r="Y5" s="4">
        <v>10</v>
      </c>
      <c r="Z5" s="11">
        <v>1</v>
      </c>
    </row>
    <row r="6" spans="1:26">
      <c r="A6" s="3" t="s">
        <v>25</v>
      </c>
      <c r="B6" s="3" t="s">
        <v>40</v>
      </c>
      <c r="C6" s="7" t="s">
        <v>67</v>
      </c>
      <c r="D6" s="2" t="s">
        <v>59</v>
      </c>
      <c r="E6" s="4">
        <v>15.11</v>
      </c>
      <c r="F6" s="4">
        <v>15.11</v>
      </c>
      <c r="G6" s="3" t="s">
        <v>79</v>
      </c>
      <c r="H6" s="3" t="s">
        <v>79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0.35</v>
      </c>
      <c r="O6" s="4">
        <v>0.315</v>
      </c>
      <c r="P6" s="4">
        <v>2.1999999999999999E-2</v>
      </c>
      <c r="Q6" s="4">
        <v>0.8</v>
      </c>
      <c r="R6" s="4">
        <v>0.8</v>
      </c>
      <c r="S6" s="4">
        <v>0</v>
      </c>
      <c r="T6" s="4">
        <v>26</v>
      </c>
      <c r="U6" s="4">
        <v>16.248000000000001</v>
      </c>
      <c r="V6" s="4">
        <v>7</v>
      </c>
      <c r="W6" s="4">
        <v>43</v>
      </c>
      <c r="X6" s="4">
        <v>28.713000000000001</v>
      </c>
      <c r="Y6" s="4">
        <v>10</v>
      </c>
      <c r="Z6" s="11">
        <v>1</v>
      </c>
    </row>
    <row r="7" spans="1:26">
      <c r="A7" s="3" t="s">
        <v>26</v>
      </c>
      <c r="B7" s="3" t="s">
        <v>41</v>
      </c>
      <c r="C7" s="7" t="s">
        <v>68</v>
      </c>
      <c r="D7" s="2" t="s">
        <v>58</v>
      </c>
      <c r="E7" s="4">
        <v>13.11</v>
      </c>
      <c r="F7" s="4">
        <v>13.11</v>
      </c>
      <c r="G7" s="3" t="s">
        <v>79</v>
      </c>
      <c r="H7" s="3" t="s">
        <v>79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0.35</v>
      </c>
      <c r="O7" s="4">
        <v>0.315</v>
      </c>
      <c r="P7" s="4">
        <v>2.1999999999999999E-2</v>
      </c>
      <c r="Q7" s="4">
        <v>0.8</v>
      </c>
      <c r="R7" s="4">
        <v>0.8</v>
      </c>
      <c r="S7" s="4">
        <v>0</v>
      </c>
      <c r="T7" s="4">
        <v>26</v>
      </c>
      <c r="U7" s="4">
        <v>16.248000000000001</v>
      </c>
      <c r="V7" s="4">
        <v>7</v>
      </c>
      <c r="W7" s="4">
        <v>43</v>
      </c>
      <c r="X7" s="4">
        <v>28.713000000000001</v>
      </c>
      <c r="Y7" s="4">
        <v>10</v>
      </c>
      <c r="Z7" s="11">
        <v>1</v>
      </c>
    </row>
    <row r="8" spans="1:26">
      <c r="A8" s="3" t="s">
        <v>94</v>
      </c>
      <c r="B8" s="3" t="s">
        <v>95</v>
      </c>
      <c r="C8" s="7" t="s">
        <v>75</v>
      </c>
      <c r="D8" s="2" t="s">
        <v>60</v>
      </c>
      <c r="E8" s="4">
        <v>18.559999999999999</v>
      </c>
      <c r="F8" s="4">
        <v>18.559999999999999</v>
      </c>
      <c r="G8" s="3" t="s">
        <v>80</v>
      </c>
      <c r="H8" s="3" t="s">
        <v>80</v>
      </c>
      <c r="I8" s="4">
        <v>0</v>
      </c>
      <c r="J8" s="4">
        <v>0</v>
      </c>
      <c r="K8" s="4">
        <f>K4</f>
        <v>34</v>
      </c>
      <c r="L8" s="4">
        <f>L4</f>
        <v>32.402999999999999</v>
      </c>
      <c r="M8" s="4">
        <f>M4</f>
        <v>0.98599999999999999</v>
      </c>
      <c r="N8" s="4">
        <v>0</v>
      </c>
      <c r="O8" s="4">
        <v>0</v>
      </c>
      <c r="P8" s="4">
        <v>0</v>
      </c>
      <c r="Q8" s="4">
        <v>0.44</v>
      </c>
      <c r="R8" s="4">
        <v>0.44</v>
      </c>
      <c r="S8" s="4">
        <v>0</v>
      </c>
      <c r="T8" s="4"/>
      <c r="U8" s="4"/>
      <c r="V8" s="4"/>
      <c r="W8" s="4"/>
      <c r="X8" s="4"/>
      <c r="Y8" s="4"/>
      <c r="Z8" s="11">
        <v>0</v>
      </c>
    </row>
    <row r="9" spans="1:26">
      <c r="A9" s="3" t="s">
        <v>27</v>
      </c>
      <c r="B9" s="3" t="s">
        <v>42</v>
      </c>
      <c r="C9" s="7" t="s">
        <v>69</v>
      </c>
      <c r="D9" s="2" t="s">
        <v>60</v>
      </c>
      <c r="E9" s="4">
        <v>17</v>
      </c>
      <c r="F9" s="4">
        <v>19</v>
      </c>
      <c r="G9" s="3" t="s">
        <v>52</v>
      </c>
      <c r="H9" s="3" t="s">
        <v>52</v>
      </c>
      <c r="I9" s="4">
        <v>0</v>
      </c>
      <c r="J9" s="4">
        <v>0</v>
      </c>
      <c r="K9" s="4">
        <v>32</v>
      </c>
      <c r="L9" s="4">
        <v>27.007000000000001</v>
      </c>
      <c r="M9" s="4">
        <v>3.2109999999999999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/>
      <c r="U9" s="4"/>
      <c r="V9" s="4"/>
      <c r="W9" s="4"/>
      <c r="X9" s="4"/>
      <c r="Y9" s="4"/>
      <c r="Z9" s="11">
        <v>0</v>
      </c>
    </row>
    <row r="10" spans="1:26">
      <c r="A10" s="3" t="s">
        <v>28</v>
      </c>
      <c r="B10" s="3" t="s">
        <v>43</v>
      </c>
      <c r="C10" s="7" t="s">
        <v>70</v>
      </c>
      <c r="D10" s="2" t="s">
        <v>53</v>
      </c>
      <c r="E10" s="4">
        <v>17</v>
      </c>
      <c r="F10" s="4">
        <v>19</v>
      </c>
      <c r="G10" s="3" t="s">
        <v>52</v>
      </c>
      <c r="H10" s="3" t="s">
        <v>52</v>
      </c>
      <c r="I10" s="4">
        <v>0</v>
      </c>
      <c r="J10" s="4">
        <v>0</v>
      </c>
      <c r="K10" s="4">
        <v>35.5</v>
      </c>
      <c r="L10" s="4">
        <v>33.561</v>
      </c>
      <c r="M10" s="4">
        <v>1.2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/>
      <c r="U10" s="4"/>
      <c r="V10" s="4"/>
      <c r="W10" s="4"/>
      <c r="X10" s="4"/>
      <c r="Y10" s="4"/>
      <c r="Z10" s="11">
        <v>0</v>
      </c>
    </row>
    <row r="11" spans="1:26">
      <c r="A11" s="3" t="s">
        <v>29</v>
      </c>
      <c r="B11" s="3" t="s">
        <v>44</v>
      </c>
      <c r="C11" s="7" t="s">
        <v>71</v>
      </c>
      <c r="D11" s="2" t="s">
        <v>62</v>
      </c>
      <c r="E11" s="4">
        <v>11.66</v>
      </c>
      <c r="F11" s="4">
        <v>11.66</v>
      </c>
      <c r="G11" s="3" t="s">
        <v>79</v>
      </c>
      <c r="H11" s="3" t="s">
        <v>79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0.4</v>
      </c>
      <c r="O11" s="4">
        <v>0.35</v>
      </c>
      <c r="P11" s="4">
        <v>3.2000000000000001E-2</v>
      </c>
      <c r="Q11" s="4">
        <v>0.5</v>
      </c>
      <c r="R11" s="4">
        <v>0.5</v>
      </c>
      <c r="S11" s="4">
        <v>0</v>
      </c>
      <c r="T11" s="4">
        <v>26</v>
      </c>
      <c r="U11" s="4">
        <v>16.248000000000001</v>
      </c>
      <c r="V11" s="4">
        <v>7</v>
      </c>
      <c r="W11" s="4">
        <v>43</v>
      </c>
      <c r="X11" s="4">
        <v>28.713000000000001</v>
      </c>
      <c r="Y11" s="4">
        <v>10</v>
      </c>
      <c r="Z11" s="11">
        <v>1</v>
      </c>
    </row>
    <row r="12" spans="1:26">
      <c r="A12" s="3" t="s">
        <v>30</v>
      </c>
      <c r="B12" s="3" t="s">
        <v>45</v>
      </c>
      <c r="C12" s="7" t="s">
        <v>72</v>
      </c>
      <c r="D12" s="2" t="s">
        <v>57</v>
      </c>
      <c r="E12" s="4">
        <v>10.55</v>
      </c>
      <c r="F12" s="4">
        <v>10.55</v>
      </c>
      <c r="G12" s="3" t="s">
        <v>79</v>
      </c>
      <c r="H12" s="3" t="s">
        <v>79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0.4</v>
      </c>
      <c r="O12" s="4">
        <v>0.35</v>
      </c>
      <c r="P12" s="4">
        <v>3.2000000000000001E-2</v>
      </c>
      <c r="Q12" s="4">
        <v>0.5</v>
      </c>
      <c r="R12" s="4">
        <v>0.5</v>
      </c>
      <c r="S12" s="4">
        <v>0</v>
      </c>
      <c r="T12" s="4">
        <v>26</v>
      </c>
      <c r="U12" s="4">
        <v>16.248000000000001</v>
      </c>
      <c r="V12" s="4">
        <v>7</v>
      </c>
      <c r="W12" s="4">
        <v>43</v>
      </c>
      <c r="X12" s="4">
        <v>28.713000000000001</v>
      </c>
      <c r="Y12" s="4">
        <v>10</v>
      </c>
      <c r="Z12" s="11">
        <v>1</v>
      </c>
    </row>
    <row r="13" spans="1:26">
      <c r="A13" s="3" t="s">
        <v>31</v>
      </c>
      <c r="B13" s="3" t="s">
        <v>46</v>
      </c>
      <c r="C13" s="7" t="s">
        <v>63</v>
      </c>
      <c r="D13" s="2" t="s">
        <v>53</v>
      </c>
      <c r="E13" s="4">
        <v>18</v>
      </c>
      <c r="F13" s="4">
        <v>20</v>
      </c>
      <c r="G13" s="3" t="s">
        <v>52</v>
      </c>
      <c r="H13" s="3" t="s">
        <v>52</v>
      </c>
      <c r="I13" s="4">
        <v>0</v>
      </c>
      <c r="J13" s="4">
        <v>0</v>
      </c>
      <c r="K13" s="4">
        <v>34</v>
      </c>
      <c r="L13" s="4">
        <v>32.402999999999999</v>
      </c>
      <c r="M13" s="4">
        <v>0.98599999999999999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/>
      <c r="U13" s="4"/>
      <c r="V13" s="4"/>
      <c r="W13" s="4"/>
      <c r="X13" s="4"/>
      <c r="Y13" s="4"/>
      <c r="Z13" s="11">
        <v>0</v>
      </c>
    </row>
    <row r="14" spans="1:26">
      <c r="A14" s="3" t="s">
        <v>98</v>
      </c>
      <c r="B14" s="3" t="s">
        <v>96</v>
      </c>
      <c r="C14" s="7" t="s">
        <v>65</v>
      </c>
      <c r="D14" s="2" t="s">
        <v>58</v>
      </c>
      <c r="E14" s="4">
        <v>18.559999999999999</v>
      </c>
      <c r="F14" s="4">
        <v>18.559999999999999</v>
      </c>
      <c r="G14" s="3" t="s">
        <v>80</v>
      </c>
      <c r="H14" s="3" t="s">
        <v>80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0.8</v>
      </c>
      <c r="R14" s="4">
        <v>0.8</v>
      </c>
      <c r="S14" s="4">
        <v>0</v>
      </c>
      <c r="T14" s="4"/>
      <c r="U14" s="4"/>
      <c r="V14" s="4"/>
      <c r="W14" s="4"/>
      <c r="X14" s="4"/>
      <c r="Y14" s="4"/>
      <c r="Z14" s="11">
        <v>0</v>
      </c>
    </row>
    <row r="15" spans="1:26">
      <c r="A15" s="3" t="s">
        <v>32</v>
      </c>
      <c r="B15" s="3" t="s">
        <v>47</v>
      </c>
      <c r="C15" s="7" t="s">
        <v>73</v>
      </c>
      <c r="D15" s="2" t="s">
        <v>55</v>
      </c>
      <c r="E15" s="4">
        <v>12</v>
      </c>
      <c r="F15" s="4">
        <v>18</v>
      </c>
      <c r="G15" s="3" t="s">
        <v>52</v>
      </c>
      <c r="H15" s="3" t="s">
        <v>52</v>
      </c>
      <c r="I15" s="4">
        <v>0</v>
      </c>
      <c r="J15" s="4">
        <v>0</v>
      </c>
      <c r="K15" s="4">
        <v>35</v>
      </c>
      <c r="L15" s="4">
        <v>35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/>
      <c r="U15" s="4"/>
      <c r="V15" s="4"/>
      <c r="W15" s="4"/>
      <c r="X15" s="4"/>
      <c r="Y15" s="4"/>
      <c r="Z15" s="11">
        <v>0</v>
      </c>
    </row>
    <row r="16" spans="1:26">
      <c r="A16" s="3" t="s">
        <v>33</v>
      </c>
      <c r="B16" s="3" t="s">
        <v>48</v>
      </c>
      <c r="C16" s="7" t="s">
        <v>63</v>
      </c>
      <c r="D16" s="2" t="s">
        <v>53</v>
      </c>
      <c r="E16" s="4">
        <v>18</v>
      </c>
      <c r="F16" s="4">
        <v>20</v>
      </c>
      <c r="G16" s="3" t="s">
        <v>52</v>
      </c>
      <c r="H16" s="3" t="s">
        <v>52</v>
      </c>
      <c r="I16" s="4">
        <v>0</v>
      </c>
      <c r="J16" s="4">
        <v>0</v>
      </c>
      <c r="K16" s="4">
        <v>32</v>
      </c>
      <c r="L16" s="4">
        <v>29.902999999999999</v>
      </c>
      <c r="M16" s="4">
        <v>1.3029999999999999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/>
      <c r="U16" s="4"/>
      <c r="V16" s="4"/>
      <c r="W16" s="4"/>
      <c r="X16" s="4"/>
      <c r="Y16" s="4"/>
      <c r="Z16" s="11">
        <v>0</v>
      </c>
    </row>
    <row r="17" spans="1:26">
      <c r="A17" s="3" t="s">
        <v>34</v>
      </c>
      <c r="B17" s="3" t="s">
        <v>49</v>
      </c>
      <c r="C17" s="7" t="s">
        <v>76</v>
      </c>
      <c r="D17" s="2" t="s">
        <v>54</v>
      </c>
      <c r="E17" s="4">
        <v>18</v>
      </c>
      <c r="F17" s="4">
        <v>20</v>
      </c>
      <c r="G17" s="3" t="s">
        <v>52</v>
      </c>
      <c r="H17" s="3" t="s">
        <v>52</v>
      </c>
      <c r="I17" s="4">
        <v>0</v>
      </c>
      <c r="J17" s="4">
        <v>0</v>
      </c>
      <c r="K17" s="4">
        <v>34</v>
      </c>
      <c r="L17" s="4">
        <v>32.402999999999999</v>
      </c>
      <c r="M17" s="4">
        <v>0.98599999999999999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/>
      <c r="U17" s="4"/>
      <c r="V17" s="4"/>
      <c r="W17" s="4"/>
      <c r="X17" s="4"/>
      <c r="Y17" s="4"/>
      <c r="Z17" s="11">
        <v>0</v>
      </c>
    </row>
    <row r="18" spans="1:26">
      <c r="A18" s="3" t="s">
        <v>35</v>
      </c>
      <c r="B18" s="3" t="s">
        <v>50</v>
      </c>
      <c r="C18" s="7" t="s">
        <v>77</v>
      </c>
      <c r="D18" s="2" t="s">
        <v>54</v>
      </c>
      <c r="E18" s="4">
        <v>18</v>
      </c>
      <c r="F18" s="4">
        <v>20</v>
      </c>
      <c r="G18" s="3" t="s">
        <v>52</v>
      </c>
      <c r="H18" s="3" t="s">
        <v>52</v>
      </c>
      <c r="I18" s="4">
        <v>0</v>
      </c>
      <c r="J18" s="4">
        <v>0</v>
      </c>
      <c r="K18" s="4">
        <v>34</v>
      </c>
      <c r="L18" s="4">
        <v>32.402999999999999</v>
      </c>
      <c r="M18" s="4">
        <v>0.98599999999999999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/>
      <c r="U18" s="4"/>
      <c r="V18" s="4"/>
      <c r="W18" s="4"/>
      <c r="X18" s="4"/>
      <c r="Y18" s="4"/>
      <c r="Z18" s="11">
        <v>0</v>
      </c>
    </row>
    <row r="19" spans="1:26">
      <c r="A19" s="3" t="s">
        <v>36</v>
      </c>
      <c r="B19" s="3" t="s">
        <v>51</v>
      </c>
      <c r="C19" s="7" t="s">
        <v>78</v>
      </c>
      <c r="D19" s="2" t="s">
        <v>56</v>
      </c>
      <c r="E19" s="4">
        <v>18</v>
      </c>
      <c r="F19" s="4">
        <v>20</v>
      </c>
      <c r="G19" s="3" t="s">
        <v>52</v>
      </c>
      <c r="H19" s="3" t="s">
        <v>52</v>
      </c>
      <c r="I19" s="4">
        <v>0</v>
      </c>
      <c r="J19" s="4">
        <v>0</v>
      </c>
      <c r="K19" s="4">
        <v>34</v>
      </c>
      <c r="L19" s="4">
        <v>32.402999999999999</v>
      </c>
      <c r="M19" s="4">
        <v>0.98599999999999999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/>
      <c r="U19" s="4"/>
      <c r="V19" s="4"/>
      <c r="W19" s="4"/>
      <c r="X19" s="4"/>
      <c r="Y19" s="4"/>
      <c r="Z19" s="11">
        <v>0</v>
      </c>
    </row>
    <row r="21" spans="1:26">
      <c r="E21" s="1"/>
      <c r="F21" s="1"/>
      <c r="G21" s="1"/>
    </row>
    <row r="22" spans="1:26">
      <c r="C22" s="1"/>
      <c r="D22" s="1"/>
      <c r="E22" s="5"/>
    </row>
    <row r="23" spans="1:26">
      <c r="C23" s="5"/>
      <c r="D23" s="1"/>
      <c r="E23" s="5"/>
    </row>
    <row r="24" spans="1:26">
      <c r="C24" s="5"/>
      <c r="D24" s="5"/>
      <c r="E24" s="5"/>
    </row>
    <row r="25" spans="1:26">
      <c r="C25" s="5"/>
      <c r="D25" s="5"/>
      <c r="E25" s="5"/>
    </row>
    <row r="26" spans="1:26">
      <c r="C26" s="5"/>
      <c r="D26" s="5"/>
      <c r="E26" s="5"/>
    </row>
    <row r="27" spans="1:26">
      <c r="C27" s="5"/>
      <c r="D27" s="5"/>
      <c r="E27" s="5"/>
    </row>
    <row r="28" spans="1:26">
      <c r="C28" s="5"/>
      <c r="D28" s="5"/>
      <c r="E28" s="5"/>
    </row>
    <row r="29" spans="1:26">
      <c r="C29" s="5"/>
      <c r="D29" s="5"/>
      <c r="E29" s="5"/>
      <c r="F29" s="6"/>
      <c r="G29" s="2"/>
    </row>
    <row r="30" spans="1:26">
      <c r="C30" s="5"/>
      <c r="D30" s="5"/>
      <c r="E30" s="5"/>
      <c r="F30" s="6"/>
      <c r="G30" s="2"/>
    </row>
    <row r="31" spans="1:26">
      <c r="C31" s="5"/>
      <c r="D31" s="5"/>
      <c r="E31" s="5"/>
      <c r="F31" s="6"/>
      <c r="G31" s="2"/>
    </row>
    <row r="32" spans="1:26">
      <c r="C32" s="5"/>
      <c r="D32" s="5"/>
      <c r="E32" s="5"/>
      <c r="F32" s="6"/>
      <c r="G32" s="2"/>
    </row>
    <row r="33" spans="3:7">
      <c r="C33" s="5"/>
      <c r="D33" s="5"/>
      <c r="E33" s="5"/>
      <c r="F33" s="6"/>
      <c r="G33" s="2"/>
    </row>
    <row r="34" spans="3:7">
      <c r="C34" s="5"/>
      <c r="D34" s="5"/>
      <c r="E34" s="5"/>
      <c r="F34" s="6"/>
      <c r="G34" s="2"/>
    </row>
    <row r="35" spans="3:7">
      <c r="C35" s="5"/>
      <c r="D35" s="5"/>
      <c r="E35" s="5"/>
      <c r="F35" s="6"/>
      <c r="G35" s="2"/>
    </row>
    <row r="36" spans="3:7">
      <c r="C36" s="5"/>
      <c r="D36" s="5"/>
      <c r="E36" s="5"/>
      <c r="F36" s="6"/>
      <c r="G36" s="2"/>
    </row>
    <row r="37" spans="3:7">
      <c r="C37" s="5"/>
      <c r="D37" s="5"/>
      <c r="E37" s="5"/>
      <c r="F37" s="6"/>
      <c r="G37" s="2"/>
    </row>
    <row r="38" spans="3:7">
      <c r="C38" s="5"/>
      <c r="D38" s="5"/>
      <c r="E38" s="5"/>
      <c r="F38" s="6"/>
      <c r="G38" s="2"/>
    </row>
    <row r="39" spans="3:7">
      <c r="C39" s="5"/>
      <c r="D39" s="5"/>
      <c r="E39" s="5"/>
      <c r="F39" s="6"/>
      <c r="G39" s="2"/>
    </row>
    <row r="40" spans="3:7">
      <c r="C40" s="5"/>
      <c r="D40" s="5"/>
      <c r="E40" s="6"/>
      <c r="F40" s="2"/>
    </row>
    <row r="41" spans="3:7">
      <c r="D41" s="5"/>
      <c r="E41" s="6"/>
      <c r="F41" s="2"/>
    </row>
    <row r="42" spans="3:7">
      <c r="D42" s="5"/>
      <c r="E42" s="6"/>
      <c r="F42" s="2"/>
    </row>
    <row r="43" spans="3:7">
      <c r="D43" s="5"/>
      <c r="E43" s="6"/>
      <c r="F43" s="2"/>
    </row>
    <row r="44" spans="3:7">
      <c r="D44" s="5"/>
      <c r="E44" s="6"/>
      <c r="F44" s="2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9146-8256-4FEE-9C86-186105F78ABA}">
  <dimension ref="A1:E22"/>
  <sheetViews>
    <sheetView workbookViewId="0">
      <selection activeCell="F16" sqref="F16"/>
    </sheetView>
  </sheetViews>
  <sheetFormatPr defaultRowHeight="15"/>
  <cols>
    <col min="1" max="1" width="12" bestFit="1" customWidth="1"/>
    <col min="2" max="2" width="11.28515625" bestFit="1" customWidth="1"/>
  </cols>
  <sheetData>
    <row r="1" spans="1:5">
      <c r="A1" t="s">
        <v>81</v>
      </c>
      <c r="B1" t="s">
        <v>82</v>
      </c>
      <c r="C1" s="10" t="s">
        <v>83</v>
      </c>
      <c r="D1" t="s">
        <v>84</v>
      </c>
      <c r="E1" t="s">
        <v>85</v>
      </c>
    </row>
    <row r="2" spans="1:5" ht="30">
      <c r="A2">
        <f>Tabel363[[#This Row],[sigma_eff]]</f>
        <v>1</v>
      </c>
      <c r="B2" s="13">
        <f t="shared" ref="B2:B20" si="0">C2/EXP(-1.645*SQRT(LN(1+$E$7^2)) - 0.5*LN(1+$E$7^2))</f>
        <v>7.0054713120221903</v>
      </c>
      <c r="C2" s="17">
        <f>MAX(4.14,SuTabel_Dk!C2/4)</f>
        <v>4.1399999999999997</v>
      </c>
      <c r="D2" s="2" t="s">
        <v>86</v>
      </c>
      <c r="E2" s="2">
        <v>1</v>
      </c>
    </row>
    <row r="3" spans="1:5">
      <c r="A3">
        <f>Tabel363[[#This Row],[sigma_eff]]</f>
        <v>9.2799999999999994</v>
      </c>
      <c r="B3" s="13">
        <f t="shared" si="0"/>
        <v>7.0054713120221903</v>
      </c>
      <c r="C3" s="18">
        <f>MAX(4.14,SuTabel_Dk!C3/4)</f>
        <v>4.1399999999999997</v>
      </c>
      <c r="D3" s="2" t="s">
        <v>87</v>
      </c>
      <c r="E3" s="2">
        <v>0.44</v>
      </c>
    </row>
    <row r="4" spans="1:5">
      <c r="A4">
        <f>Tabel363[[#This Row],[sigma_eff]]</f>
        <v>10</v>
      </c>
      <c r="B4" s="13">
        <f t="shared" si="0"/>
        <v>8.2934806067790898</v>
      </c>
      <c r="C4" s="17">
        <f>C3 + (A4-A3)*(C5-C3)/(A5-A3)</f>
        <v>4.9011705540985693</v>
      </c>
      <c r="D4" s="2" t="s">
        <v>88</v>
      </c>
      <c r="E4" s="2">
        <v>0.44</v>
      </c>
    </row>
    <row r="5" spans="1:5">
      <c r="A5">
        <f>Tabel363[[#This Row],[sigma_eff]]</f>
        <v>18.559999999999999</v>
      </c>
      <c r="B5" s="13">
        <f t="shared" si="0"/>
        <v>23.606479999999998</v>
      </c>
      <c r="C5" s="18">
        <f>SuTabel_Dk!C5</f>
        <v>13.950642697270446</v>
      </c>
      <c r="D5" s="2" t="s">
        <v>89</v>
      </c>
      <c r="E5" s="2">
        <v>0</v>
      </c>
    </row>
    <row r="6" spans="1:5">
      <c r="A6">
        <f>Tabel363[[#This Row],[sigma_eff]]</f>
        <v>20</v>
      </c>
      <c r="B6" s="13">
        <f t="shared" si="0"/>
        <v>24.77</v>
      </c>
      <c r="C6" s="17">
        <f>SuTabel_Dk!C6</f>
        <v>14.638244228338532</v>
      </c>
      <c r="D6" s="2" t="s">
        <v>90</v>
      </c>
      <c r="E6" s="2">
        <v>0</v>
      </c>
    </row>
    <row r="7" spans="1:5" ht="45">
      <c r="A7">
        <f>Tabel363[[#This Row],[sigma_eff]]</f>
        <v>30</v>
      </c>
      <c r="B7" s="13">
        <f t="shared" si="0"/>
        <v>31.22</v>
      </c>
      <c r="C7" s="18">
        <f>SuTabel_Dk!C7</f>
        <v>18.449979200998342</v>
      </c>
      <c r="D7" s="2" t="s">
        <v>91</v>
      </c>
      <c r="E7" s="2">
        <v>0.3</v>
      </c>
    </row>
    <row r="8" spans="1:5">
      <c r="A8">
        <f>Tabel363[[#This Row],[sigma_eff]]</f>
        <v>40</v>
      </c>
      <c r="B8" s="13">
        <f t="shared" si="0"/>
        <v>36.799999999999997</v>
      </c>
      <c r="C8" s="17">
        <f>SuTabel_Dk!C8</f>
        <v>21.747573177345899</v>
      </c>
      <c r="D8" s="2"/>
      <c r="E8" s="2"/>
    </row>
    <row r="9" spans="1:5">
      <c r="A9">
        <f>Tabel363[[#This Row],[sigma_eff]]</f>
        <v>50</v>
      </c>
      <c r="B9" s="13">
        <f t="shared" si="0"/>
        <v>41.82</v>
      </c>
      <c r="C9" s="18">
        <f>SuTabel_Dk!C9</f>
        <v>24.714225822733848</v>
      </c>
    </row>
    <row r="10" spans="1:5">
      <c r="A10">
        <f>Tabel363[[#This Row],[sigma_eff]]</f>
        <v>60</v>
      </c>
      <c r="B10" s="13">
        <f t="shared" si="0"/>
        <v>46.43</v>
      </c>
      <c r="C10" s="17">
        <f>SuTabel_Dk!C10</f>
        <v>27.438582136526364</v>
      </c>
    </row>
    <row r="11" spans="1:5">
      <c r="A11">
        <f>Tabel363[[#This Row],[sigma_eff]]</f>
        <v>70</v>
      </c>
      <c r="B11" s="13">
        <f t="shared" si="0"/>
        <v>50.73</v>
      </c>
      <c r="C11" s="18">
        <f>SuTabel_Dk!C11</f>
        <v>29.979738784966237</v>
      </c>
    </row>
    <row r="12" spans="1:5">
      <c r="A12">
        <f>Tabel363[[#This Row],[sigma_eff]]</f>
        <v>80</v>
      </c>
      <c r="B12" s="13">
        <f t="shared" si="0"/>
        <v>54.78</v>
      </c>
      <c r="C12" s="17">
        <f>SuTabel_Dk!C12</f>
        <v>32.373153767799145</v>
      </c>
    </row>
    <row r="13" spans="1:5">
      <c r="A13">
        <f>Tabel363[[#This Row],[sigma_eff]]</f>
        <v>90</v>
      </c>
      <c r="B13" s="13">
        <f t="shared" si="0"/>
        <v>58.610000000000007</v>
      </c>
      <c r="C13" s="18">
        <f>SuTabel_Dk!C13</f>
        <v>34.636556084897919</v>
      </c>
    </row>
    <row r="14" spans="1:5">
      <c r="A14">
        <f>Tabel363[[#This Row],[sigma_eff]]</f>
        <v>100</v>
      </c>
      <c r="B14" s="13">
        <f t="shared" si="0"/>
        <v>62.280000000000008</v>
      </c>
      <c r="C14" s="17">
        <f>SuTabel_Dk!C14</f>
        <v>36.80540373600823</v>
      </c>
    </row>
    <row r="15" spans="1:5">
      <c r="A15">
        <f>Tabel363[[#This Row],[sigma_eff]]</f>
        <v>110</v>
      </c>
      <c r="B15" s="13">
        <f t="shared" si="0"/>
        <v>65.790000000000006</v>
      </c>
      <c r="C15" s="18">
        <f>SuTabel_Dk!C15</f>
        <v>38.879696721130081</v>
      </c>
    </row>
    <row r="16" spans="1:5">
      <c r="A16">
        <f>Tabel363[[#This Row],[sigma_eff]]</f>
        <v>120</v>
      </c>
      <c r="B16" s="13">
        <f t="shared" si="0"/>
        <v>69.17</v>
      </c>
      <c r="C16" s="17">
        <f>SuTabel_Dk!C16</f>
        <v>40.877164040136307</v>
      </c>
    </row>
    <row r="17" spans="1:3">
      <c r="A17">
        <f>Tabel363[[#This Row],[sigma_eff]]</f>
        <v>130</v>
      </c>
      <c r="B17" s="13">
        <f t="shared" si="0"/>
        <v>72.430000000000007</v>
      </c>
      <c r="C17" s="18">
        <f>SuTabel_Dk!C17</f>
        <v>42.803715359651193</v>
      </c>
    </row>
    <row r="18" spans="1:3">
      <c r="A18">
        <f>Tabel363[[#This Row],[sigma_eff]]</f>
        <v>140</v>
      </c>
      <c r="B18" s="13">
        <f t="shared" si="0"/>
        <v>75.59</v>
      </c>
      <c r="C18" s="17">
        <f>SuTabel_Dk!C18</f>
        <v>44.671170012923284</v>
      </c>
    </row>
    <row r="19" spans="1:3">
      <c r="A19">
        <f>Tabel363[[#This Row],[sigma_eff]]</f>
        <v>150</v>
      </c>
      <c r="B19" s="13">
        <f t="shared" si="0"/>
        <v>78.66</v>
      </c>
      <c r="C19" s="18">
        <f>SuTabel_Dk!C19</f>
        <v>46.485437666576864</v>
      </c>
    </row>
    <row r="20" spans="1:3">
      <c r="A20">
        <f>Tabel363[[#This Row],[sigma_eff]]</f>
        <v>160</v>
      </c>
      <c r="B20" s="13">
        <f t="shared" si="0"/>
        <v>81.650000000000006</v>
      </c>
      <c r="C20" s="17">
        <f>SuTabel_Dk!C20</f>
        <v>48.252427987236224</v>
      </c>
    </row>
    <row r="21" spans="1:3">
      <c r="C21" s="18"/>
    </row>
    <row r="22" spans="1:3">
      <c r="C22" s="17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D47C-0487-46C5-AF2D-64162DA2633C}">
  <dimension ref="A1:H22"/>
  <sheetViews>
    <sheetView workbookViewId="0">
      <selection activeCell="D7" sqref="D7"/>
    </sheetView>
  </sheetViews>
  <sheetFormatPr defaultRowHeight="15"/>
  <cols>
    <col min="1" max="1" width="11.28515625" customWidth="1"/>
    <col min="2" max="2" width="10.5703125" customWidth="1"/>
    <col min="8" max="8" width="10.5703125" bestFit="1" customWidth="1"/>
  </cols>
  <sheetData>
    <row r="1" spans="1:8">
      <c r="A1" t="s">
        <v>81</v>
      </c>
      <c r="B1" t="s">
        <v>82</v>
      </c>
      <c r="C1" s="14" t="s">
        <v>83</v>
      </c>
      <c r="D1" t="s">
        <v>84</v>
      </c>
      <c r="E1" t="s">
        <v>85</v>
      </c>
    </row>
    <row r="2" spans="1:8" ht="30">
      <c r="A2">
        <v>1</v>
      </c>
      <c r="B2">
        <v>4.55</v>
      </c>
      <c r="C2" s="15">
        <f>B2/EXP(-1.645*SQRT(LN(1+$E$7^2)) - 0.5*LN(1+$E$7^2))</f>
        <v>5.3881029255928112</v>
      </c>
      <c r="D2" s="2" t="s">
        <v>86</v>
      </c>
      <c r="E2" s="2">
        <v>1</v>
      </c>
      <c r="H2" s="13"/>
    </row>
    <row r="3" spans="1:8">
      <c r="A3">
        <v>9.2799999999999994</v>
      </c>
      <c r="B3" s="12">
        <f>B2 + (A3-A2)*(B4-B2)/(A4-A2)</f>
        <v>15.718799999999998</v>
      </c>
      <c r="C3" s="16">
        <f>B3*EXP(-1.645*SQRT(LN(1+$E$7^2)) - 0.5*LN(1+$E$7^2))</f>
        <v>13.273788750449887</v>
      </c>
      <c r="D3" s="2" t="s">
        <v>87</v>
      </c>
      <c r="E3" s="2">
        <v>0.44</v>
      </c>
      <c r="H3" s="13"/>
    </row>
    <row r="4" spans="1:8">
      <c r="A4">
        <v>10</v>
      </c>
      <c r="B4">
        <v>16.690000000000001</v>
      </c>
      <c r="C4" s="15">
        <f>B4*EXP(-1.645*SQRT(LN(1+$E$7^2)) - 0.5*LN(1+$E$7^2))</f>
        <v>14.093921561760991</v>
      </c>
      <c r="D4" s="2" t="s">
        <v>88</v>
      </c>
      <c r="E4" s="2">
        <v>0.44</v>
      </c>
      <c r="H4" s="13"/>
    </row>
    <row r="5" spans="1:8">
      <c r="A5">
        <v>18.559999999999999</v>
      </c>
      <c r="B5" s="12">
        <f>B4 + (A5-A4)*(B6-B4)/(A6-A4)</f>
        <v>23.606479999999998</v>
      </c>
      <c r="C5" s="16">
        <f>B5*EXP(-1.645*SQRT(LN(1+$E$7^2)) - 0.5*LN(1+$E$7^2))</f>
        <v>19.934564258195298</v>
      </c>
      <c r="D5" s="2" t="s">
        <v>89</v>
      </c>
      <c r="E5" s="2">
        <v>0</v>
      </c>
      <c r="H5" s="13"/>
    </row>
    <row r="6" spans="1:8">
      <c r="A6">
        <v>20</v>
      </c>
      <c r="B6">
        <v>24.77</v>
      </c>
      <c r="C6" s="15">
        <f>B6*EXP(-1.645*SQRT(LN(1+$E$7^2)) - 0.5*LN(1+$E$7^2))</f>
        <v>20.917102281894532</v>
      </c>
      <c r="D6" s="2" t="s">
        <v>90</v>
      </c>
      <c r="E6" s="2">
        <v>0</v>
      </c>
      <c r="H6" s="13"/>
    </row>
    <row r="7" spans="1:8" ht="45">
      <c r="A7">
        <f>A6+10</f>
        <v>30</v>
      </c>
      <c r="B7">
        <v>31.22</v>
      </c>
      <c r="C7" s="16">
        <f t="shared" ref="C7:C22" si="0">B7*EXP(-1.645*SQRT(LN(1+$E$7^2)) - 0.5*LN(1+$E$7^2))</f>
        <v>26.363824515169448</v>
      </c>
      <c r="D7" s="2" t="s">
        <v>91</v>
      </c>
      <c r="E7" s="2">
        <v>0.1</v>
      </c>
      <c r="H7" s="13"/>
    </row>
    <row r="8" spans="1:8">
      <c r="A8">
        <f t="shared" ref="A8:A22" si="1">A7+10</f>
        <v>40</v>
      </c>
      <c r="B8">
        <v>36.799999999999997</v>
      </c>
      <c r="C8" s="15">
        <f t="shared" si="0"/>
        <v>31.075872586746819</v>
      </c>
      <c r="D8" s="2"/>
      <c r="E8" s="2"/>
      <c r="H8" s="13"/>
    </row>
    <row r="9" spans="1:8">
      <c r="A9">
        <f t="shared" si="1"/>
        <v>50</v>
      </c>
      <c r="B9">
        <v>41.82</v>
      </c>
      <c r="C9" s="16">
        <f t="shared" si="0"/>
        <v>35.315026945047613</v>
      </c>
      <c r="H9" s="13"/>
    </row>
    <row r="10" spans="1:8">
      <c r="A10">
        <f t="shared" si="1"/>
        <v>60</v>
      </c>
      <c r="B10">
        <v>46.43</v>
      </c>
      <c r="C10" s="15">
        <f t="shared" si="0"/>
        <v>39.20795554898519</v>
      </c>
      <c r="H10" s="13"/>
    </row>
    <row r="11" spans="1:8">
      <c r="A11">
        <f t="shared" si="1"/>
        <v>70</v>
      </c>
      <c r="B11">
        <v>50.73</v>
      </c>
      <c r="C11" s="16">
        <f t="shared" si="0"/>
        <v>42.839103704501795</v>
      </c>
      <c r="H11" s="13"/>
    </row>
    <row r="12" spans="1:8">
      <c r="A12">
        <f t="shared" si="1"/>
        <v>80</v>
      </c>
      <c r="B12">
        <v>54.78</v>
      </c>
      <c r="C12" s="15">
        <f t="shared" si="0"/>
        <v>46.259138595162796</v>
      </c>
      <c r="H12" s="13"/>
    </row>
    <row r="13" spans="1:8">
      <c r="A13">
        <f t="shared" si="1"/>
        <v>90</v>
      </c>
      <c r="B13">
        <v>58.61</v>
      </c>
      <c r="C13" s="16">
        <f t="shared" si="0"/>
        <v>49.493393812750845</v>
      </c>
      <c r="H13" s="13"/>
    </row>
    <row r="14" spans="1:8">
      <c r="A14">
        <f t="shared" si="1"/>
        <v>100</v>
      </c>
      <c r="B14">
        <v>62.28</v>
      </c>
      <c r="C14" s="15">
        <f t="shared" si="0"/>
        <v>52.592536540831304</v>
      </c>
      <c r="H14" s="13"/>
    </row>
    <row r="15" spans="1:8">
      <c r="A15">
        <f t="shared" si="1"/>
        <v>110</v>
      </c>
      <c r="B15">
        <v>65.790000000000006</v>
      </c>
      <c r="C15" s="16">
        <f t="shared" si="0"/>
        <v>55.556566779404172</v>
      </c>
      <c r="H15" s="13"/>
    </row>
    <row r="16" spans="1:8">
      <c r="A16">
        <f t="shared" si="1"/>
        <v>120</v>
      </c>
      <c r="B16">
        <v>69.17</v>
      </c>
      <c r="C16" s="15">
        <f t="shared" si="0"/>
        <v>58.41081812025211</v>
      </c>
      <c r="H16" s="13"/>
    </row>
    <row r="17" spans="1:8">
      <c r="A17">
        <f t="shared" si="1"/>
        <v>130</v>
      </c>
      <c r="B17">
        <v>72.430000000000007</v>
      </c>
      <c r="C17" s="16">
        <f t="shared" si="0"/>
        <v>61.163735093969358</v>
      </c>
      <c r="H17" s="13"/>
    </row>
    <row r="18" spans="1:8">
      <c r="A18">
        <f t="shared" si="1"/>
        <v>140</v>
      </c>
      <c r="B18">
        <v>75.59</v>
      </c>
      <c r="C18" s="15">
        <f t="shared" si="0"/>
        <v>63.832206761744352</v>
      </c>
      <c r="H18" s="13"/>
    </row>
    <row r="19" spans="1:8">
      <c r="A19">
        <f t="shared" si="1"/>
        <v>150</v>
      </c>
      <c r="B19">
        <v>78.66</v>
      </c>
      <c r="C19" s="16">
        <f t="shared" si="0"/>
        <v>66.424677654171333</v>
      </c>
    </row>
    <row r="20" spans="1:8">
      <c r="A20">
        <f t="shared" si="1"/>
        <v>160</v>
      </c>
      <c r="B20">
        <v>81.650000000000006</v>
      </c>
      <c r="C20" s="15">
        <f t="shared" si="0"/>
        <v>68.949592301844518</v>
      </c>
    </row>
    <row r="21" spans="1:8">
      <c r="A21">
        <f t="shared" si="1"/>
        <v>170</v>
      </c>
      <c r="B21">
        <v>84.55</v>
      </c>
      <c r="C21" s="16">
        <f t="shared" si="0"/>
        <v>71.398506174169668</v>
      </c>
    </row>
    <row r="22" spans="1:8">
      <c r="A22">
        <f t="shared" si="1"/>
        <v>180</v>
      </c>
      <c r="B22">
        <v>87.39</v>
      </c>
      <c r="C22" s="15">
        <f t="shared" si="0"/>
        <v>73.79675286292948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BAFF6-F008-4B0C-A0E7-039F46993E5A}">
  <dimension ref="A1:E22"/>
  <sheetViews>
    <sheetView workbookViewId="0">
      <selection activeCell="D3" sqref="D3"/>
    </sheetView>
  </sheetViews>
  <sheetFormatPr defaultRowHeight="15"/>
  <cols>
    <col min="1" max="1" width="11.28515625" customWidth="1"/>
    <col min="2" max="2" width="10.5703125" customWidth="1"/>
  </cols>
  <sheetData>
    <row r="1" spans="1:5">
      <c r="A1" t="s">
        <v>81</v>
      </c>
      <c r="B1" t="s">
        <v>82</v>
      </c>
      <c r="C1" s="10" t="s">
        <v>83</v>
      </c>
      <c r="D1" t="s">
        <v>84</v>
      </c>
      <c r="E1" t="s">
        <v>85</v>
      </c>
    </row>
    <row r="2" spans="1:5" ht="30">
      <c r="A2">
        <f>Tabel363[[#This Row],[sigma_eff]]</f>
        <v>1</v>
      </c>
      <c r="B2" s="12">
        <f>Tabel363[[#This Row],[su_mean]]</f>
        <v>4.55</v>
      </c>
      <c r="C2" s="17">
        <f>B2*EXP(-1.645*SQRT(LN(1+$E$7^2)) - 0.5*LN(1+$E$7^2))</f>
        <v>2.6888983140468437</v>
      </c>
      <c r="D2" s="2" t="s">
        <v>86</v>
      </c>
      <c r="E2" s="2">
        <v>1</v>
      </c>
    </row>
    <row r="3" spans="1:5">
      <c r="A3">
        <v>9.2799999999999994</v>
      </c>
      <c r="B3" s="12">
        <f>Tabel363[[#This Row],[su_mean]]</f>
        <v>15.718799999999998</v>
      </c>
      <c r="C3" s="18">
        <f>B3*EXP(-1.645*SQRT(LN(1+$E$7^2)) - 0.5*LN(1+$E$7^2))</f>
        <v>9.2892867733713231</v>
      </c>
      <c r="D3" s="2" t="s">
        <v>87</v>
      </c>
      <c r="E3" s="2">
        <v>0.44</v>
      </c>
    </row>
    <row r="4" spans="1:5">
      <c r="A4">
        <v>10</v>
      </c>
      <c r="B4" s="12">
        <f>Tabel363[[#This Row],[su_mean]]</f>
        <v>16.690000000000001</v>
      </c>
      <c r="C4" s="17">
        <f>B4*EXP(-1.645*SQRT(LN(1+$E$7^2)) - 0.5*LN(1+$E$7^2))</f>
        <v>9.8632335959212813</v>
      </c>
      <c r="D4" s="2" t="s">
        <v>88</v>
      </c>
      <c r="E4" s="2">
        <v>0.44</v>
      </c>
    </row>
    <row r="5" spans="1:5">
      <c r="A5">
        <v>18.559999999999999</v>
      </c>
      <c r="B5" s="12">
        <f>Tabel363[[#This Row],[su_mean]]</f>
        <v>23.606479999999998</v>
      </c>
      <c r="C5" s="18">
        <f>B5*EXP(-1.645*SQRT(LN(1+$E$7^2)) - 0.5*LN(1+$E$7^2))</f>
        <v>13.950642697270446</v>
      </c>
      <c r="D5" s="2" t="s">
        <v>89</v>
      </c>
      <c r="E5" s="2">
        <v>0</v>
      </c>
    </row>
    <row r="6" spans="1:5">
      <c r="A6">
        <v>20</v>
      </c>
      <c r="B6" s="12">
        <f>Tabel363[[#This Row],[su_mean]]</f>
        <v>24.77</v>
      </c>
      <c r="C6" s="17">
        <f>B6*EXP(-1.645*SQRT(LN(1+$E$7^2)) - 0.5*LN(1+$E$7^2))</f>
        <v>14.638244228338532</v>
      </c>
      <c r="D6" s="2" t="s">
        <v>90</v>
      </c>
      <c r="E6" s="2">
        <v>0</v>
      </c>
    </row>
    <row r="7" spans="1:5" ht="45">
      <c r="A7">
        <v>30</v>
      </c>
      <c r="B7" s="12">
        <f>Tabel363[[#This Row],[su_mean]]</f>
        <v>31.22</v>
      </c>
      <c r="C7" s="18">
        <f>B7*EXP(-1.645*SQRT(LN(1+$E$7^2)) - 0.5*LN(1+$E$7^2))</f>
        <v>18.449979200998342</v>
      </c>
      <c r="D7" s="2" t="s">
        <v>91</v>
      </c>
      <c r="E7" s="2">
        <v>0.3</v>
      </c>
    </row>
    <row r="8" spans="1:5">
      <c r="A8">
        <v>40</v>
      </c>
      <c r="B8" s="12">
        <f>Tabel363[[#This Row],[su_mean]]</f>
        <v>36.799999999999997</v>
      </c>
      <c r="C8" s="17">
        <f>B8*EXP(-1.645*SQRT(LN(1+$E$7^2)) - 0.5*LN(1+$E$7^2))</f>
        <v>21.747573177345899</v>
      </c>
    </row>
    <row r="9" spans="1:5">
      <c r="A9">
        <v>50</v>
      </c>
      <c r="B9" s="12">
        <f>Tabel363[[#This Row],[su_mean]]</f>
        <v>41.82</v>
      </c>
      <c r="C9" s="18">
        <f>B9*EXP(-1.645*SQRT(LN(1+$E$7^2)) - 0.5*LN(1+$E$7^2))</f>
        <v>24.714225822733848</v>
      </c>
    </row>
    <row r="10" spans="1:5">
      <c r="A10">
        <v>60</v>
      </c>
      <c r="B10" s="12">
        <f>Tabel363[[#This Row],[su_mean]]</f>
        <v>46.43</v>
      </c>
      <c r="C10" s="17">
        <f>B10*EXP(-1.645*SQRT(LN(1+$E$7^2)) - 0.5*LN(1+$E$7^2))</f>
        <v>27.438582136526364</v>
      </c>
    </row>
    <row r="11" spans="1:5">
      <c r="A11">
        <v>70</v>
      </c>
      <c r="B11" s="12">
        <f>Tabel363[[#This Row],[su_mean]]</f>
        <v>50.73</v>
      </c>
      <c r="C11" s="18">
        <f>B11*EXP(-1.645*SQRT(LN(1+$E$7^2)) - 0.5*LN(1+$E$7^2))</f>
        <v>29.979738784966237</v>
      </c>
    </row>
    <row r="12" spans="1:5">
      <c r="A12">
        <v>80</v>
      </c>
      <c r="B12" s="12">
        <f>Tabel363[[#This Row],[su_mean]]</f>
        <v>54.78</v>
      </c>
      <c r="C12" s="17">
        <f>B12*EXP(-1.645*SQRT(LN(1+$E$7^2)) - 0.5*LN(1+$E$7^2))</f>
        <v>32.373153767799145</v>
      </c>
    </row>
    <row r="13" spans="1:5">
      <c r="A13">
        <v>90</v>
      </c>
      <c r="B13" s="12">
        <f>Tabel363[[#This Row],[su_mean]]</f>
        <v>58.61</v>
      </c>
      <c r="C13" s="18">
        <f>B13*EXP(-1.645*SQRT(LN(1+$E$7^2)) - 0.5*LN(1+$E$7^2))</f>
        <v>34.636556084897919</v>
      </c>
    </row>
    <row r="14" spans="1:5">
      <c r="A14">
        <v>100</v>
      </c>
      <c r="B14" s="12">
        <f>Tabel363[[#This Row],[su_mean]]</f>
        <v>62.28</v>
      </c>
      <c r="C14" s="17">
        <f>B14*EXP(-1.645*SQRT(LN(1+$E$7^2)) - 0.5*LN(1+$E$7^2))</f>
        <v>36.80540373600823</v>
      </c>
    </row>
    <row r="15" spans="1:5">
      <c r="A15">
        <v>110</v>
      </c>
      <c r="B15" s="12">
        <f>Tabel363[[#This Row],[su_mean]]</f>
        <v>65.790000000000006</v>
      </c>
      <c r="C15" s="18">
        <f>B15*EXP(-1.645*SQRT(LN(1+$E$7^2)) - 0.5*LN(1+$E$7^2))</f>
        <v>38.879696721130081</v>
      </c>
    </row>
    <row r="16" spans="1:5">
      <c r="A16">
        <v>120</v>
      </c>
      <c r="B16" s="12">
        <f>Tabel363[[#This Row],[su_mean]]</f>
        <v>69.17</v>
      </c>
      <c r="C16" s="17">
        <f>B16*EXP(-1.645*SQRT(LN(1+$E$7^2)) - 0.5*LN(1+$E$7^2))</f>
        <v>40.877164040136307</v>
      </c>
    </row>
    <row r="17" spans="1:3">
      <c r="A17">
        <v>130</v>
      </c>
      <c r="B17" s="12">
        <f>Tabel363[[#This Row],[su_mean]]</f>
        <v>72.430000000000007</v>
      </c>
      <c r="C17" s="18">
        <f>B17*EXP(-1.645*SQRT(LN(1+$E$7^2)) - 0.5*LN(1+$E$7^2))</f>
        <v>42.803715359651193</v>
      </c>
    </row>
    <row r="18" spans="1:3">
      <c r="A18">
        <v>140</v>
      </c>
      <c r="B18" s="12">
        <f>Tabel363[[#This Row],[su_mean]]</f>
        <v>75.59</v>
      </c>
      <c r="C18" s="17">
        <f>B18*EXP(-1.645*SQRT(LN(1+$E$7^2)) - 0.5*LN(1+$E$7^2))</f>
        <v>44.671170012923284</v>
      </c>
    </row>
    <row r="19" spans="1:3">
      <c r="A19">
        <v>150</v>
      </c>
      <c r="B19" s="12">
        <f>Tabel363[[#This Row],[su_mean]]</f>
        <v>78.66</v>
      </c>
      <c r="C19" s="18">
        <f>B19*EXP(-1.645*SQRT(LN(1+$E$7^2)) - 0.5*LN(1+$E$7^2))</f>
        <v>46.485437666576864</v>
      </c>
    </row>
    <row r="20" spans="1:3">
      <c r="A20">
        <v>160</v>
      </c>
      <c r="B20" s="12">
        <f>Tabel363[[#This Row],[su_mean]]</f>
        <v>81.650000000000006</v>
      </c>
      <c r="C20" s="17">
        <f>B20*EXP(-1.645*SQRT(LN(1+$E$7^2)) - 0.5*LN(1+$E$7^2))</f>
        <v>48.252427987236224</v>
      </c>
    </row>
    <row r="21" spans="1:3">
      <c r="A21">
        <v>170</v>
      </c>
      <c r="B21" s="12">
        <f>Tabel363[[#This Row],[su_mean]]</f>
        <v>84.55</v>
      </c>
      <c r="C21" s="18">
        <f>B21*EXP(-1.645*SQRT(LN(1+$E$7^2)) - 0.5*LN(1+$E$7^2))</f>
        <v>49.966231308277067</v>
      </c>
    </row>
    <row r="22" spans="1:3">
      <c r="A22">
        <v>180</v>
      </c>
      <c r="B22" s="12">
        <f>Tabel363[[#This Row],[su_mean]]</f>
        <v>87.39</v>
      </c>
      <c r="C22" s="17">
        <f>B22*EXP(-1.645*SQRT(LN(1+$E$7^2)) - 0.5*LN(1+$E$7^2))</f>
        <v>51.644576629572235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Parameterset</vt:lpstr>
      <vt:lpstr>SuTabel_T</vt:lpstr>
      <vt:lpstr>SuTabel_Kz</vt:lpstr>
      <vt:lpstr>SuTabel_Dk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Leeuwen, Pauline van</dc:creator>
  <cp:lastModifiedBy>Pauline van Leeuwen</cp:lastModifiedBy>
  <dcterms:created xsi:type="dcterms:W3CDTF">2015-06-05T18:19:34Z</dcterms:created>
  <dcterms:modified xsi:type="dcterms:W3CDTF">2026-02-23T15:32:10Z</dcterms:modified>
</cp:coreProperties>
</file>