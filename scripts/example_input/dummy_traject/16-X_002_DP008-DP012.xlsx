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2364C7BB-8918-477B-89AB-6775B614A9FD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0" i="4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<sst xmlns="http://schemas.openxmlformats.org/spreadsheetml/2006/main" count="55" uniqueCount="47">
  <si>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</si>
  <si>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</si>
  <si>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</si>
  <si>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</si>
  <si>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</si>
  <si>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</si>
  <si>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</si>
  <si>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</si>
  <si>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</si>
  <si>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</si>
  <si>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</si>
  <si>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</si>
  <si>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</si>
  <si>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</si>
  <si>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</si>
  <si>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</si>
  <si>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</si>
  <si>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</si>
  <si>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</si>
  <si>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</si>
  <si>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</si>
  <si>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</si>
  <si>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</si>
  <si>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</si>
  <si>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</si>
  <si>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</si>
  <si>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</si>
  <si>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</si>
  <si>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</si>
  <si>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</si>
  <si>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</si>
  <si>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</si>
  <si>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</si>
  <si>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</si>
  <si>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</si>
  <si>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</si>
  <si>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</si>
  <si>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</si>
  <si>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</si>
  <si>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</si>
  <si>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</si>
  <si>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</si>
  <si>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016-01_0145_9_BO_km0954</t>
  </si>
  <si>
    <t>DP008.-DP012.</t>
  </si>
  <si>
    <t>DP009.+050m</t>
  </si>
  <si>
    <t>faalkans onafhankelijk van waterstand</t>
  </si>
  <si>
    <t>Testcase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</si>
</sst>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zoomScale="115" zoomScaleNormal="115" workbookViewId="0">
      <selection activeCell="G7" sqref="G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800</v>
      </c>
      <c r="C6" s="5">
        <v>1200</v>
      </c>
      <c r="D6" s="5">
        <v>2</v>
      </c>
      <c r="E6" s="5" t="s">
        <v>43</v>
      </c>
      <c r="F6" s="5">
        <f>C6-B6</f>
        <v>400</v>
      </c>
      <c r="G6" s="5" t="s">
        <v>46</v>
      </c>
      <c r="H6" s="5" t="s">
        <v>40</v>
      </c>
      <c r="I6" s="5">
        <v>1</v>
      </c>
      <c r="J6" s="6">
        <v>1</v>
      </c>
      <c r="K6" s="6">
        <v>950</v>
      </c>
      <c r="L6" s="6" t="s">
        <v>44</v>
      </c>
      <c r="M6" s="6" t="s">
        <v>42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45" x14ac:dyDescent="0.25">
      <c r="A13" s="7">
        <v>1</v>
      </c>
      <c r="B13" t="s">
        <v>29</v>
      </c>
      <c r="C13" t="s">
        <v>29</v>
      </c>
      <c r="D13" s="8" t="s">
        <v>45</v>
      </c>
      <c r="E13" s="8"/>
      <c r="F13" s="8"/>
      <c r="G13" s="8"/>
      <c r="H13" s="8"/>
      <c r="I13" s="8"/>
      <c r="J13" s="8"/>
      <c r="K13" s="8"/>
    </row>
    <row r="14" spans="1:14" x14ac:dyDescent="0.25">
      <c r="A14" s="7">
        <v>2</v>
      </c>
      <c r="D14" s="8"/>
      <c r="E14" s="8"/>
      <c r="F14" s="8"/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faalkans onafhankelijk van waterstand</v>
      </c>
      <c r="D26">
        <v>2</v>
      </c>
      <c r="E26" s="25">
        <v>2E-3</v>
      </c>
      <c r="G26" t="str">
        <f>IF(FCPunten5[[#This Row],[Beta_h]]="","",_xlfn.NORM.S.DIST(-1*FCPunten5[[#This Row],[Beta_h]],TRUE))</f>
        <v/>
      </c>
      <c r="H26" s="13">
        <f>IF(FCPunten5[[#This Row],[Pf_h]]="", "",-_xlfn.NORM.S.INV(FCPunten5[[#This Row],[Pf_h]]))</f>
        <v>2.8781617390954826</v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faalkans onafhankelijk van waterstand</v>
      </c>
      <c r="D27">
        <v>4</v>
      </c>
      <c r="E27" s="25">
        <v>2E-3</v>
      </c>
      <c r="G27" t="str">
        <f>IF(FCPunten5[[#This Row],[Beta_h]]="","",_xlfn.NORM.S.DIST(-1*FCPunten5[[#This Row],[Beta_h]],TRUE))</f>
        <v/>
      </c>
      <c r="H27" s="13">
        <f>IF(FCPunten5[[#This Row],[Pf_h]]="", "",-_xlfn.NORM.S.INV(FCPunten5[[#This Row],[Pf_h]]))</f>
        <v>2.8781617390954826</v>
      </c>
    </row>
    <row r="28" spans="1:11" x14ac:dyDescent="0.25"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/>
      </c>
      <c r="E28" s="25"/>
      <c r="G28" t="str">
        <f>IF(FCPunten5[[#This Row],[Beta_h]]="","",_xlfn.NORM.S.DIST(-1*FCPunten5[[#This Row],[Beta_h]],TRUE))</f>
        <v/>
      </c>
      <c r="H28" s="13" t="str">
        <f>IF(FCPunten5[[#This Row],[Pf_h]]="", "",-_xlfn.NORM.S.INV(FCPunten5[[#This Row],[Pf_h]]))</f>
        <v/>
      </c>
    </row>
    <row r="29" spans="1:11" x14ac:dyDescent="0.25"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/>
      </c>
      <c r="E29" s="25"/>
      <c r="G29" t="str">
        <f>IF(FCPunten5[[#This Row],[Beta_h]]="","",_xlfn.NORM.S.DIST(-1*FCPunten5[[#This Row],[Beta_h]],TRUE))</f>
        <v/>
      </c>
      <c r="H29" s="13" t="str">
        <f>IF(FCPunten5[[#This Row],[Pf_h]]="", "",-_xlfn.NORM.S.INV(FCPunten5[[#This Row],[Pf_h]]))</f>
        <v/>
      </c>
    </row>
    <row r="30" spans="1:11" x14ac:dyDescent="0.25"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/>
      </c>
      <c r="E30" s="25"/>
      <c r="G30" t="str">
        <f>IF(FCPunten5[[#This Row],[Beta_h]]="","",_xlfn.NORM.S.DIST(-1*FCPunten5[[#This Row],[Beta_h]],TRUE))</f>
        <v/>
      </c>
      <c r="H30" s="13" t="str">
        <f>IF(FCPunten5[[#This Row],[Pf_h]]="", "",-_xlfn.NORM.S.INV(FCPunten5[[#This Row],[Pf_h]]))</f>
        <v/>
      </c>
    </row>
    <row r="31" spans="1:11" x14ac:dyDescent="0.25"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/>
      </c>
      <c r="G31" t="str">
        <f>IF(FCPunten5[[#This Row],[Beta_h]]="","",_xlfn.NORM.S.DIST(-1*FCPunten5[[#This Row],[Beta_h]],TRUE))</f>
        <v/>
      </c>
      <c r="H31" s="13" t="str">
        <f>IF(FCPunten5[[#This Row],[Pf_h]]="", "",-_xlfn.NORM.S.INV(FCPunten5[[#This Row],[Pf_h]]))</f>
        <v/>
      </c>
    </row>
    <row r="32" spans="1:11" x14ac:dyDescent="0.25"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/>
      </c>
      <c r="G32" t="str">
        <f>IF(FCPunten5[[#This Row],[Beta_h]]="","",_xlfn.NORM.S.DIST(-1*FCPunten5[[#This Row],[Beta_h]],TRUE))</f>
        <v/>
      </c>
      <c r="H32" s="13" t="str">
        <f>IF(FCPunten5[[#This Row],[Pf_h]]="", "",-_xlfn.NORM.S.INV(FCPunten5[[#This Row],[Pf_h]]))</f>
        <v/>
      </c>
    </row>
    <row r="33" spans="3:8" x14ac:dyDescent="0.25"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/>
      </c>
      <c r="E33" s="25"/>
      <c r="G33" t="str">
        <f>IF(FCPunten5[[#This Row],[Beta_h]]="","",_xlfn.NORM.S.DIST(-1*FCPunten5[[#This Row],[Beta_h]],TRUE))</f>
        <v/>
      </c>
      <c r="H33" s="13" t="str">
        <f>IF(FCPunten5[[#This Row],[Pf_h]]="", "",-_xlfn.NORM.S.INV(FCPunten5[[#This Row],[Pf_h]]))</f>
        <v/>
      </c>
    </row>
    <row r="34" spans="3:8" x14ac:dyDescent="0.25"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/>
      </c>
      <c r="G34" t="str">
        <f>IF(FCPunten5[[#This Row],[Beta_h]]="","",_xlfn.NORM.S.DIST(-1*FCPunten5[[#This Row],[Beta_h]],TRUE))</f>
        <v/>
      </c>
      <c r="H34" s="13" t="str">
        <f>IF(FCPunten5[[#This Row],[Pf_h]]="", "",-_xlfn.NORM.S.INV(FCPunten5[[#This Row],[Pf_h]]))</f>
        <v/>
      </c>
    </row>
    <row r="35" spans="3:8" x14ac:dyDescent="0.25"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/>
      </c>
      <c r="G35" t="str">
        <f>IF(FCPunten5[[#This Row],[Beta_h]]="","",_xlfn.NORM.S.DIST(-1*FCPunten5[[#This Row],[Beta_h]],TRUE))</f>
        <v/>
      </c>
      <c r="H35" s="13" t="str">
        <f>IF(FCPunten5[[#This Row],[Pf_h]]="", "",-_xlfn.NORM.S.INV(FCPunten5[[#This Row],[Pf_h]]))</f>
        <v/>
      </c>
    </row>
    <row r="36" spans="3:8" x14ac:dyDescent="0.25"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/>
      </c>
      <c r="G36" t="str">
        <f>IF(FCPunten5[[#This Row],[Beta_h]]="","",_xlfn.NORM.S.DIST(-1*FCPunten5[[#This Row],[Beta_h]],TRUE))</f>
        <v/>
      </c>
      <c r="H36" s="13" t="str">
        <f>IF(FCPunten5[[#This Row],[Pf_h]]="", "",-_xlfn.NORM.S.INV(FCPunten5[[#This Row],[Pf_h]]))</f>
        <v/>
      </c>
    </row>
    <row r="37" spans="3:8" x14ac:dyDescent="0.25"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/>
      </c>
      <c r="G37" t="str">
        <f>IF(FCPunten5[[#This Row],[Beta_h]]="","",_xlfn.NORM.S.DIST(-1*FCPunten5[[#This Row],[Beta_h]],TRUE))</f>
        <v/>
      </c>
      <c r="H37" s="13" t="str">
        <f>IF(FCPunten5[[#This Row],[Pf_h]]="", "",-_xlfn.NORM.S.INV(FCPunten5[[#This Row],[Pf_h]]))</f>
        <v/>
      </c>
    </row>
    <row r="38" spans="3:8" x14ac:dyDescent="0.25"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/>
      </c>
      <c r="G38" t="str">
        <f>IF(FCPunten5[[#This Row],[Beta_h]]="","",_xlfn.NORM.S.DIST(-1*FCPunten5[[#This Row],[Beta_h]],TRUE))</f>
        <v/>
      </c>
      <c r="H38" s="13" t="str">
        <f>IF(FCPunten5[[#This Row],[Pf_h]]="", "",-_xlfn.NORM.S.INV(FCPunten5[[#This Row],[Pf_h]]))</f>
        <v/>
      </c>
    </row>
    <row r="39" spans="3:8" x14ac:dyDescent="0.25"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/>
      </c>
      <c r="E39" s="25"/>
      <c r="G39" t="str">
        <f>IF(FCPunten5[[#This Row],[Beta_h]]="","",_xlfn.NORM.S.DIST(-1*FCPunten5[[#This Row],[Beta_h]],TRUE))</f>
        <v/>
      </c>
      <c r="H39" s="13" t="str">
        <f>IF(FCPunten5[[#This Row],[Pf_h]]="", "",-_xlfn.NORM.S.INV(FCPunten5[[#This Row],[Pf_h]]))</f>
        <v/>
      </c>
    </row>
    <row r="40" spans="3:8" x14ac:dyDescent="0.25"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/>
      </c>
      <c r="E40" s="25"/>
      <c r="G40" t="str">
        <f>IF(FCPunten5[[#This Row],[Beta_h]]="","",_xlfn.NORM.S.DIST(-1*FCPunten5[[#This Row],[Beta_h]],TRUE))</f>
        <v/>
      </c>
      <c r="H40" s="13" t="str">
        <f>IF(FCPunten5[[#This Row],[Pf_h]]="", "",-_xlfn.NORM.S.INV(FCPunten5[[#This Row],[Pf_h]]))</f>
        <v/>
      </c>
    </row>
    <row r="41" spans="3:8" x14ac:dyDescent="0.25"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/>
      </c>
      <c r="E41" s="25"/>
      <c r="G41" t="str">
        <f>IF(FCPunten5[[#This Row],[Beta_h]]="","",_xlfn.NORM.S.DIST(-1*FCPunten5[[#This Row],[Beta_h]],TRUE))</f>
        <v/>
      </c>
      <c r="H41" s="13" t="str">
        <f>IF(FCPunten5[[#This Row],[Pf_h]]="", "",-_xlfn.NORM.S.INV(FCPunten5[[#This Row],[Pf_h]]))</f>
        <v/>
      </c>
    </row>
    <row r="42" spans="3:8" x14ac:dyDescent="0.25"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/>
      </c>
      <c r="E42" s="25"/>
      <c r="G42" t="str">
        <f>IF(FCPunten5[[#This Row],[Beta_h]]="","",_xlfn.NORM.S.DIST(-1*FCPunten5[[#This Row],[Beta_h]],TRUE))</f>
        <v/>
      </c>
      <c r="H42" s="13" t="str">
        <f>IF(FCPunten5[[#This Row],[Pf_h]]="", "",-_xlfn.NORM.S.INV(FCPunten5[[#This Row],[Pf_h]]))</f>
        <v/>
      </c>
    </row>
    <row r="43" spans="3:8" x14ac:dyDescent="0.25"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/>
      </c>
      <c r="E43" s="25"/>
      <c r="G43" t="str">
        <f>IF(FCPunten5[[#This Row],[Beta_h]]="","",_xlfn.NORM.S.DIST(-1*FCPunten5[[#This Row],[Beta_h]],TRUE))</f>
        <v/>
      </c>
      <c r="H43" s="13" t="str">
        <f>IF(FCPunten5[[#This Row],[Pf_h]]="", "",-_xlfn.NORM.S.INV(FCPunten5[[#This Row],[Pf_h]]))</f>
        <v/>
      </c>
    </row>
    <row r="44" spans="3:8" x14ac:dyDescent="0.25"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/>
      </c>
      <c r="G44" t="str">
        <f>IF(FCPunten5[[#This Row],[Beta_h]]="","",_xlfn.NORM.S.DIST(-1*FCPunten5[[#This Row],[Beta_h]],TRUE))</f>
        <v/>
      </c>
      <c r="H44" s="13" t="str">
        <f>IF(FCPunten5[[#This Row],[Pf_h]]="", "",-_xlfn.NORM.S.INV(FCPunten5[[#This Row],[Pf_h]]))</f>
        <v/>
      </c>
    </row>
    <row r="45" spans="3:8" x14ac:dyDescent="0.25"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/>
      </c>
      <c r="G45" t="str">
        <f>IF(FCPunten5[[#This Row],[Beta_h]]="","",_xlfn.NORM.S.DIST(-1*FCPunten5[[#This Row],[Beta_h]],TRUE))</f>
        <v/>
      </c>
      <c r="H45" s="13" t="str">
        <f>IF(FCPunten5[[#This Row],[Pf_h]]="", "",-_xlfn.NORM.S.INV(FCPunten5[[#This Row],[Pf_h]]))</f>
        <v/>
      </c>
    </row>
    <row r="46" spans="3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3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3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opLeftCell="A4"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2" sqref="A2:B5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4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2026-03-11T08:02:24Z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