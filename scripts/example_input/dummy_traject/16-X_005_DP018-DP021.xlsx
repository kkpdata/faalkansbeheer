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"/>
    </mc:Choice>
  </mc:AlternateContent>
  <xr:revisionPtr revIDLastSave="0" documentId="13_ncr:1_{9D7DADDF-5B29-4CF9-953B-8617DDC269BE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cenario1" sheetId="1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C26" i="1" a="1"/>
  <c r="C26" i="1" s="1"/>
  <c r="H60" i="1"/>
  <c r="G60" i="1"/>
  <c r="C60" i="1" a="1"/>
  <c r="C60" i="1" s="1"/>
  <c r="H59" i="1"/>
  <c r="G59" i="1"/>
  <c r="C59" i="1" a="1"/>
  <c r="C59" i="1" s="1"/>
  <c r="H58" i="1"/>
  <c r="G58" i="1"/>
  <c r="C58" i="1" a="1"/>
  <c r="C58" i="1" s="1"/>
  <c r="H57" i="1"/>
  <c r="G57" i="1"/>
  <c r="C57" i="1" a="1"/>
  <c r="C57" i="1" s="1"/>
  <c r="H56" i="1"/>
  <c r="G56" i="1"/>
  <c r="C56" i="1" a="1"/>
  <c r="C56" i="1" s="1"/>
  <c r="H55" i="1"/>
  <c r="G55" i="1"/>
  <c r="C55" i="1" a="1"/>
  <c r="C55" i="1" s="1"/>
  <c r="H54" i="1"/>
  <c r="G54" i="1"/>
  <c r="C54" i="1" a="1"/>
  <c r="C54" i="1" s="1"/>
  <c r="H53" i="1"/>
  <c r="G53" i="1"/>
  <c r="C53" i="1" a="1"/>
  <c r="C53" i="1" s="1"/>
  <c r="H52" i="1"/>
  <c r="G52" i="1"/>
  <c r="C52" i="1" a="1"/>
  <c r="C52" i="1" s="1"/>
  <c r="H51" i="1"/>
  <c r="G51" i="1"/>
  <c r="C51" i="1" a="1"/>
  <c r="C51" i="1" s="1"/>
  <c r="H50" i="1"/>
  <c r="G50" i="1"/>
  <c r="C50" i="1" a="1"/>
  <c r="C50" i="1" s="1"/>
  <c r="H49" i="1"/>
  <c r="G49" i="1"/>
  <c r="C49" i="1" a="1"/>
  <c r="C49" i="1" s="1"/>
  <c r="H48" i="1"/>
  <c r="G48" i="1"/>
  <c r="C48" i="1" a="1"/>
  <c r="C48" i="1" s="1"/>
  <c r="H47" i="1"/>
  <c r="G47" i="1"/>
  <c r="C47" i="1" a="1"/>
  <c r="C47" i="1" s="1"/>
  <c r="H46" i="1"/>
  <c r="G46" i="1"/>
  <c r="C46" i="1" a="1"/>
  <c r="C46" i="1" s="1"/>
  <c r="H45" i="1"/>
  <c r="G45" i="1"/>
  <c r="C45" i="1" a="1"/>
  <c r="C45" i="1" s="1"/>
  <c r="H44" i="1"/>
  <c r="G44" i="1"/>
  <c r="C44" i="1" a="1"/>
  <c r="C44" i="1" s="1"/>
  <c r="H43" i="1"/>
  <c r="G43" i="1"/>
  <c r="C43" i="1" a="1"/>
  <c r="C43" i="1" s="1"/>
  <c r="H42" i="1"/>
  <c r="G42" i="1"/>
  <c r="C42" i="1" a="1"/>
  <c r="C42" i="1" s="1"/>
  <c r="H41" i="1"/>
  <c r="G41" i="1"/>
  <c r="C41" i="1" a="1"/>
  <c r="C41" i="1" s="1"/>
  <c r="H40" i="1"/>
  <c r="G40" i="1"/>
  <c r="C40" i="1" a="1"/>
  <c r="C40" i="1" s="1"/>
  <c r="H39" i="1"/>
  <c r="G39" i="1"/>
  <c r="C39" i="1" a="1"/>
  <c r="C39" i="1" s="1"/>
  <c r="H38" i="1"/>
  <c r="G38" i="1"/>
  <c r="C38" i="1" a="1"/>
  <c r="C38" i="1" s="1"/>
  <c r="H37" i="1"/>
  <c r="G37" i="1"/>
  <c r="C37" i="1" a="1"/>
  <c r="C37" i="1" s="1"/>
  <c r="H36" i="1"/>
  <c r="G36" i="1"/>
  <c r="C36" i="1" a="1"/>
  <c r="C36" i="1" s="1"/>
  <c r="H35" i="1"/>
  <c r="G35" i="1"/>
  <c r="C35" i="1" a="1"/>
  <c r="C35" i="1" s="1"/>
  <c r="H34" i="1"/>
  <c r="G34" i="1"/>
  <c r="C34" i="1" a="1"/>
  <c r="C34" i="1" s="1"/>
  <c r="H33" i="1"/>
  <c r="G33" i="1"/>
  <c r="C33" i="1" a="1"/>
  <c r="C33" i="1" s="1"/>
  <c r="H32" i="1"/>
  <c r="G32" i="1"/>
  <c r="C32" i="1" a="1"/>
  <c r="C32" i="1" s="1"/>
  <c r="H31" i="1"/>
  <c r="G31" i="1"/>
  <c r="C31" i="1" a="1"/>
  <c r="C31" i="1" s="1"/>
  <c r="H30" i="1"/>
  <c r="G30" i="1"/>
  <c r="C30" i="1" a="1"/>
  <c r="C30" i="1" s="1"/>
  <c r="H29" i="1"/>
  <c r="G29" i="1"/>
  <c r="C29" i="1" a="1"/>
  <c r="C29" i="1" s="1"/>
  <c r="H28" i="1"/>
  <c r="G28" i="1"/>
  <c r="C28" i="1" a="1"/>
  <c r="C28" i="1" s="1"/>
  <c r="H27" i="1"/>
  <c r="G27" i="1"/>
  <c r="C27" i="1" a="1"/>
  <c r="C27" i="1" s="1"/>
  <c r="H26" i="1"/>
  <c r="G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<sst xmlns="http://schemas.openxmlformats.org/spreadsheetml/2006/main" count="56" uniqueCount="49">
  <si>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</si>
  <si>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</si>
  <si>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</si>
  <si>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</si>
  <si>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</si>
  <si>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</si>
  <si>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</si>
  <si>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</si>
  <si>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</si>
  <si>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</si>
  <si>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</si>
  <si>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</si>
  <si>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</si>
  <si>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</si>
  <si>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</si>
  <si>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</si>
  <si>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016-01_0146_9_BO_km0954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</si>
  <si>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</si>
  <si>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</si>
  <si>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</si>
  <si>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</si>
  <si>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</si>
  <si>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</si>
  <si>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</si>
  <si>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</si>
  <si>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</si>
  <si>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</si>
  <si>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</si>
  <si>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</si>
  <si>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</si>
  <si>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</si>
  <si>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 xml:space="preserve">geen 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</si>
  <si>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</si>
  <si>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</si>
  <si>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</si>
  <si>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</si>
  <si>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</si>
  <si>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</si>
  <si>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</si>
  <si>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</si>
  <si>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</si>
  <si>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</si>
  <si>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</si>
  <si>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</si>
  <si>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groene dijk</t>
  </si>
  <si>
    <t xml:space="preserve">Glijvak zonder reststerkte </t>
  </si>
  <si>
    <t>Overstroming | glijvlak zonder reststerkte</t>
  </si>
  <si>
    <t>DP018.-DP021.</t>
  </si>
  <si>
    <t>DP019.+000m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</si>
</sst>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Invoer" xfId="2" builtinId="20"/>
    <cellStyle name="Kop 1" xfId="1" builtinId="16"/>
    <cellStyle name="Standaard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alpadenGegevenScenario" displayName="FaalpadenGegevenScenario" ref="A12:K20" totalsRowShown="0" headerRowDxfId="13" dataDxfId="11" headerRowBorderDxfId="12">
  <autoFilter ref="A12:K20" xr:uid="{00000000-0009-0000-0100-000001000000}"/>
  <tableColumns count="11">
    <tableColumn id="1" xr3:uid="{00000000-0010-0000-0000-000001000000}" name="Faalpad_ID" dataDxfId="10"/>
    <tableColumn id="2" xr3:uid="{00000000-0010-0000-0000-000002000000}" name="Overslag"/>
    <tableColumn id="3" xr3:uid="{00000000-0010-0000-0000-000003000000}" name="Indirect_mechanisme"/>
    <tableColumn id="4" xr3:uid="{00000000-0010-0000-0000-000004000000}" name="Initiele_gebeurtenis" dataDxfId="9"/>
    <tableColumn id="5" xr3:uid="{00000000-0010-0000-0000-000005000000}" name="Vervolggebeurtenis_1" dataDxfId="8"/>
    <tableColumn id="6" xr3:uid="{00000000-0010-0000-0000-000006000000}" name="Vervolggebeurtenis_2" dataDxfId="7"/>
    <tableColumn id="7" xr3:uid="{00000000-0010-0000-0000-000007000000}" name="Vervolggebeurtenis_3" dataDxfId="6"/>
    <tableColumn id="8" xr3:uid="{00000000-0010-0000-0000-000008000000}" name="Vervolggebeurtenis_4" dataDxfId="5"/>
    <tableColumn id="9" xr3:uid="{00000000-0010-0000-0000-000009000000}" name="Vervolggebeurtenis_5" dataDxfId="4"/>
    <tableColumn id="10" xr3:uid="{00000000-0010-0000-0000-00000A000000}" name="Vervolggebeurtenis_6" dataDxfId="3"/>
    <tableColumn id="11" xr3:uid="{00000000-0010-0000-0000-00000B000000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CPunten" displayName="FCPunten" ref="A25:I60" totalsRowShown="0" headerRowDxfId="1" headerRowBorderDxfId="0">
  <autoFilter ref="A25:I60" xr:uid="{00000000-0009-0000-0100-000002000000}"/>
  <tableColumns count="9">
    <tableColumn id="1" xr3:uid="{00000000-0010-0000-0100-000001000000}" name="Faalpad_ID"/>
    <tableColumn id="2" xr3:uid="{00000000-0010-0000-0100-000002000000}" name="Knoop_ID"/>
    <tableColumn id="3" xr3:uid="{00000000-0010-0000-0100-000003000000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00000000-0010-0000-0100-000004000000}" name="h"/>
    <tableColumn id="5" xr3:uid="{00000000-0010-0000-0100-000005000000}" name="Pf_h"/>
    <tableColumn id="6" xr3:uid="{00000000-0010-0000-0100-000006000000}" name="Beta_h"/>
    <tableColumn id="7" xr3:uid="{00000000-0010-0000-0100-000007000000}" name="Pf uit Beta">
      <calculatedColumnFormula>IF(FCPunten[[#This Row],[Beta_h]]="","",_xlfn.NORM.S.DIST(-1*FCPunten[[#This Row],[Beta_h]],TRUE))</calculatedColumnFormula>
    </tableColumn>
    <tableColumn id="8" xr3:uid="{00000000-0010-0000-0100-000008000000}" name="Beta uit Pf">
      <calculatedColumnFormula>IF(FCPunten[[#This Row],[Pf_h]]="", "",-_xlfn.NORM.S.INV(FCPunten[[#This Row],[Pf_h]]))</calculatedColumnFormula>
    </tableColumn>
    <tableColumn id="9" xr3:uid="{00000000-0010-0000-0100-000009000000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zoomScale="115" zoomScaleNormal="115" workbookViewId="0">
      <selection activeCell="F26" sqref="F26:F29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42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43</v>
      </c>
      <c r="B6" s="5">
        <v>1800</v>
      </c>
      <c r="C6" s="5">
        <v>2100</v>
      </c>
      <c r="D6" s="5">
        <v>5</v>
      </c>
      <c r="E6" s="5" t="s">
        <v>47</v>
      </c>
      <c r="F6" s="5">
        <f>C6-B6</f>
        <v>300</v>
      </c>
      <c r="G6" s="5" t="s">
        <v>44</v>
      </c>
      <c r="H6" s="5" t="s">
        <v>42</v>
      </c>
      <c r="I6" s="5">
        <v>1</v>
      </c>
      <c r="J6" s="6">
        <v>1</v>
      </c>
      <c r="K6" s="6">
        <v>1900</v>
      </c>
      <c r="L6" s="6" t="s">
        <v>48</v>
      </c>
      <c r="M6" s="6" t="s">
        <v>16</v>
      </c>
      <c r="N6" s="24">
        <v>6.65</v>
      </c>
    </row>
    <row r="11" spans="1:14" x14ac:dyDescent="0.25">
      <c r="A11" s="28" t="s">
        <v>17</v>
      </c>
      <c r="B11" s="29"/>
      <c r="C11" t="s">
        <v>18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19</v>
      </c>
      <c r="B12" s="16" t="s">
        <v>20</v>
      </c>
      <c r="C12" s="16" t="s">
        <v>21</v>
      </c>
      <c r="D12" s="17" t="s">
        <v>22</v>
      </c>
      <c r="E12" s="17" t="s">
        <v>23</v>
      </c>
      <c r="F12" s="17" t="s">
        <v>24</v>
      </c>
      <c r="G12" s="17" t="s">
        <v>25</v>
      </c>
      <c r="H12" s="17" t="s">
        <v>26</v>
      </c>
      <c r="I12" s="17" t="s">
        <v>27</v>
      </c>
      <c r="J12" s="17" t="s">
        <v>28</v>
      </c>
      <c r="K12" s="18" t="s">
        <v>29</v>
      </c>
    </row>
    <row r="13" spans="1:14" ht="45" x14ac:dyDescent="0.25">
      <c r="A13" s="7">
        <v>1</v>
      </c>
      <c r="B13" t="s">
        <v>30</v>
      </c>
      <c r="C13" t="s">
        <v>31</v>
      </c>
      <c r="D13" s="8" t="s">
        <v>45</v>
      </c>
      <c r="E13" s="8" t="s">
        <v>46</v>
      </c>
      <c r="F13" s="8"/>
      <c r="G13" s="8"/>
      <c r="H13" s="8"/>
      <c r="I13" s="8"/>
      <c r="J13" s="8"/>
      <c r="K13" s="8"/>
    </row>
    <row r="14" spans="1:14" x14ac:dyDescent="0.25">
      <c r="A14" s="7">
        <v>2</v>
      </c>
      <c r="D14" s="8"/>
      <c r="E14" s="8"/>
      <c r="F14" s="8"/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32</v>
      </c>
      <c r="B24" s="29"/>
      <c r="E24" t="s">
        <v>33</v>
      </c>
      <c r="G24" t="s">
        <v>34</v>
      </c>
    </row>
    <row r="25" spans="1:11" x14ac:dyDescent="0.25">
      <c r="A25" s="15" t="s">
        <v>19</v>
      </c>
      <c r="B25" s="16" t="s">
        <v>18</v>
      </c>
      <c r="C25" s="16" t="s">
        <v>35</v>
      </c>
      <c r="D25" s="16" t="s">
        <v>36</v>
      </c>
      <c r="E25" s="16" t="s">
        <v>37</v>
      </c>
      <c r="F25" s="16" t="s">
        <v>38</v>
      </c>
      <c r="G25" s="16" t="s">
        <v>39</v>
      </c>
      <c r="H25" s="21" t="s">
        <v>40</v>
      </c>
      <c r="I25" s="22" t="s">
        <v>41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6">
        <v>2</v>
      </c>
      <c r="F26">
        <v>5</v>
      </c>
      <c r="G26">
        <f>IF(FCPunten[[#This Row],[Beta_h]]="","",_xlfn.NORM.S.DIST(-1*FCPunten[[#This Row],[Beta_h]],TRUE))</f>
        <v>2.8665157187919333E-7</v>
      </c>
      <c r="H26" s="13" t="str">
        <f>IF(FCPunten[[#This Row],[Pf_h]]="", "",-_xlfn.NORM.S.INV(FCPunten[[#This Row],[Pf_h]]))</f>
        <v/>
      </c>
    </row>
    <row r="27" spans="1:11" x14ac:dyDescent="0.25">
      <c r="A27">
        <v>1</v>
      </c>
      <c r="B27">
        <v>1</v>
      </c>
      <c r="C27" t="str">
        <f t="array" ref="C27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7">
        <v>4</v>
      </c>
      <c r="F27">
        <v>4</v>
      </c>
      <c r="G27">
        <f>IF(FCPunten[[#This Row],[Beta_h]]="","",_xlfn.NORM.S.DIST(-1*FCPunten[[#This Row],[Beta_h]],TRUE))</f>
        <v>3.1671241833119857E-5</v>
      </c>
      <c r="H27" s="13" t="str">
        <f>IF(FCPunten[[#This Row],[Pf_h]]="", "",-_xlfn.NORM.S.INV(FCPunten[[#This Row],[Pf_h]]))</f>
        <v/>
      </c>
    </row>
    <row r="28" spans="1:11" x14ac:dyDescent="0.25">
      <c r="A28">
        <v>1</v>
      </c>
      <c r="B28">
        <v>1</v>
      </c>
      <c r="C28" t="str">
        <f t="array" ref="C28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8">
        <v>5.9</v>
      </c>
      <c r="F28">
        <v>3.5</v>
      </c>
      <c r="G28">
        <f>IF(FCPunten[[#This Row],[Beta_h]]="","",_xlfn.NORM.S.DIST(-1*FCPunten[[#This Row],[Beta_h]],TRUE))</f>
        <v>2.3262907903552504E-4</v>
      </c>
      <c r="H28" s="13" t="str">
        <f>IF(FCPunten[[#This Row],[Pf_h]]="", "",-_xlfn.NORM.S.INV(FCPunten[[#This Row],[Pf_h]]))</f>
        <v/>
      </c>
    </row>
    <row r="29" spans="1:11" x14ac:dyDescent="0.25">
      <c r="A29">
        <v>1</v>
      </c>
      <c r="B29">
        <v>1</v>
      </c>
      <c r="C29" t="str">
        <f t="array" ref="C29">IF(SUM(FCPunten[[#This Row],[Faalpad_ID]:[Knoop_ID]])&gt;=2,INDEX(FaalpadenGegevenScenario[[Initiele_gebeurtenis]:[Vervolggebeurtenis_7]],FCPunten[[#This Row],[Faalpad_ID]],FCPunten[[#This Row],[Knoop_ID]]),"")</f>
        <v xml:space="preserve">Glijvak zonder reststerkte </v>
      </c>
      <c r="D29">
        <v>6.65</v>
      </c>
      <c r="F29">
        <v>2.8</v>
      </c>
      <c r="G29">
        <f>IF(FCPunten[[#This Row],[Beta_h]]="","",_xlfn.NORM.S.DIST(-1*FCPunten[[#This Row],[Beta_h]],TRUE))</f>
        <v>2.5551303304279312E-3</v>
      </c>
      <c r="H29" s="13" t="str">
        <f>IF(FCPunten[[#This Row],[Pf_h]]="", "",-_xlfn.NORM.S.INV(FCPunten[[#This Row],[Pf_h]]))</f>
        <v/>
      </c>
    </row>
    <row r="30" spans="1:11" x14ac:dyDescent="0.25">
      <c r="A30">
        <v>1</v>
      </c>
      <c r="B30">
        <v>2</v>
      </c>
      <c r="C30" t="str">
        <f t="array" ref="C30">IF(SUM(FCPunten[[#This Row],[Faalpad_ID]:[Knoop_ID]])&gt;=2,INDEX(FaalpadenGegevenScenario[[Initiele_gebeurtenis]:[Vervolggebeurtenis_7]],FCPunten[[#This Row],[Faalpad_ID]],FCPunten[[#This Row],[Knoop_ID]]),"")</f>
        <v>Overstroming | glijvlak zonder reststerkte</v>
      </c>
      <c r="D30">
        <v>4</v>
      </c>
      <c r="E30">
        <v>1</v>
      </c>
      <c r="G30" t="str">
        <f>IF(FCPunten[[#This Row],[Beta_h]]="","",_xlfn.NORM.S.DIST(-1*FCPunten[[#This Row],[Beta_h]],TRUE))</f>
        <v/>
      </c>
      <c r="H30" s="13" t="e">
        <f>IF(FCPunten[[#This Row],[Pf_h]]="", "",-_xlfn.NORM.S.INV(FCPunten[[#This Row],[Pf_h]]))</f>
        <v>#NUM!</v>
      </c>
    </row>
    <row r="31" spans="1:11" x14ac:dyDescent="0.25">
      <c r="C31" t="str">
        <f t="array" ref="C31">IF(SUM(FCPunten[[#This Row],[Faalpad_ID]:[Knoop_ID]])&gt;=2,INDEX(FaalpadenGegevenScenario[[Initiele_gebeurtenis]:[Vervolggebeurtenis_7]],FCPunten[[#This Row],[Faalpad_ID]],FCPunten[[#This Row],[Knoop_ID]]),"")</f>
        <v/>
      </c>
      <c r="G31" t="str">
        <f>IF(FCPunten[[#This Row],[Beta_h]]="","",_xlfn.NORM.S.DIST(-1*FCPunten[[#This Row],[Beta_h]],TRUE))</f>
        <v/>
      </c>
      <c r="H31" s="13" t="str">
        <f>IF(FCPunten[[#This Row],[Pf_h]]="", "",-_xlfn.NORM.S.INV(FCPunten[[#This Row],[Pf_h]]))</f>
        <v/>
      </c>
    </row>
    <row r="32" spans="1:11" x14ac:dyDescent="0.25">
      <c r="C32" t="str">
        <f t="array" ref="C32">IF(SUM(FCPunten[[#This Row],[Faalpad_ID]:[Knoop_ID]])&gt;=2,INDEX(FaalpadenGegevenScenario[[Initiele_gebeurtenis]:[Vervolggebeurtenis_7]],FCPunten[[#This Row],[Faalpad_ID]],FCPunten[[#This Row],[Knoop_ID]]),"")</f>
        <v/>
      </c>
      <c r="G32" t="str">
        <f>IF(FCPunten[[#This Row],[Beta_h]]="","",_xlfn.NORM.S.DIST(-1*FCPunten[[#This Row],[Beta_h]],TRUE))</f>
        <v/>
      </c>
      <c r="H32" s="13" t="str">
        <f>IF(FCPunten[[#This Row],[Pf_h]]="", "",-_xlfn.NORM.S.INV(FCPunten[[#This Row],[Pf_h]]))</f>
        <v/>
      </c>
    </row>
    <row r="33" spans="3:8" x14ac:dyDescent="0.25">
      <c r="C33" t="str">
        <f t="array" ref="C33">IF(SUM(FCPunten[[#This Row],[Faalpad_ID]:[Knoop_ID]])&gt;=2,INDEX(FaalpadenGegevenScenario[[Initiele_gebeurtenis]:[Vervolggebeurtenis_7]],FCPunten[[#This Row],[Faalpad_ID]],FCPunten[[#This Row],[Knoop_ID]]),"")</f>
        <v/>
      </c>
      <c r="E33" s="25"/>
      <c r="G33" t="str">
        <f>IF(FCPunten[[#This Row],[Beta_h]]="","",_xlfn.NORM.S.DIST(-1*FCPunten[[#This Row],[Beta_h]],TRUE))</f>
        <v/>
      </c>
      <c r="H33" s="13" t="str">
        <f>IF(FCPunten[[#This Row],[Pf_h]]="", "",-_xlfn.NORM.S.INV(FCPunten[[#This Row],[Pf_h]]))</f>
        <v/>
      </c>
    </row>
    <row r="34" spans="3:8" x14ac:dyDescent="0.25">
      <c r="C34" t="str">
        <f t="array" ref="C34">IF(SUM(FCPunten[[#This Row],[Faalpad_ID]:[Knoop_ID]])&gt;=2,INDEX(FaalpadenGegevenScenario[[Initiele_gebeurtenis]:[Vervolggebeurtenis_7]],FCPunten[[#This Row],[Faalpad_ID]],FCPunten[[#This Row],[Knoop_ID]]),"")</f>
        <v/>
      </c>
      <c r="G34" t="str">
        <f>IF(FCPunten[[#This Row],[Beta_h]]="","",_xlfn.NORM.S.DIST(-1*FCPunten[[#This Row],[Beta_h]],TRUE))</f>
        <v/>
      </c>
      <c r="H34" s="13" t="str">
        <f>IF(FCPunten[[#This Row],[Pf_h]]="", "",-_xlfn.NORM.S.INV(FCPunten[[#This Row],[Pf_h]]))</f>
        <v/>
      </c>
    </row>
    <row r="35" spans="3:8" x14ac:dyDescent="0.25">
      <c r="C35" t="str">
        <f t="array" ref="C35">IF(SUM(FCPunten[[#This Row],[Faalpad_ID]:[Knoop_ID]])&gt;=2,INDEX(FaalpadenGegevenScenario[[Initiele_gebeurtenis]:[Vervolggebeurtenis_7]],FCPunten[[#This Row],[Faalpad_ID]],FCPunten[[#This Row],[Knoop_ID]]),"")</f>
        <v/>
      </c>
      <c r="G35" t="str">
        <f>IF(FCPunten[[#This Row],[Beta_h]]="","",_xlfn.NORM.S.DIST(-1*FCPunten[[#This Row],[Beta_h]],TRUE))</f>
        <v/>
      </c>
      <c r="H35" s="13" t="str">
        <f>IF(FCPunten[[#This Row],[Pf_h]]="", "",-_xlfn.NORM.S.INV(FCPunten[[#This Row],[Pf_h]]))</f>
        <v/>
      </c>
    </row>
    <row r="36" spans="3:8" x14ac:dyDescent="0.25">
      <c r="C36" t="str">
        <f t="array" ref="C36">IF(SUM(FCPunten[[#This Row],[Faalpad_ID]:[Knoop_ID]])&gt;=2,INDEX(FaalpadenGegevenScenario[[Initiele_gebeurtenis]:[Vervolggebeurtenis_7]],FCPunten[[#This Row],[Faalpad_ID]],FCPunten[[#This Row],[Knoop_ID]]),"")</f>
        <v/>
      </c>
      <c r="G36" t="str">
        <f>IF(FCPunten[[#This Row],[Beta_h]]="","",_xlfn.NORM.S.DIST(-1*FCPunten[[#This Row],[Beta_h]],TRUE))</f>
        <v/>
      </c>
      <c r="H36" s="13" t="str">
        <f>IF(FCPunten[[#This Row],[Pf_h]]="", "",-_xlfn.NORM.S.INV(FCPunten[[#This Row],[Pf_h]]))</f>
        <v/>
      </c>
    </row>
    <row r="37" spans="3:8" x14ac:dyDescent="0.25">
      <c r="C37" t="str">
        <f t="array" ref="C37">IF(SUM(FCPunten[[#This Row],[Faalpad_ID]:[Knoop_ID]])&gt;=2,INDEX(FaalpadenGegevenScenario[[Initiele_gebeurtenis]:[Vervolggebeurtenis_7]],FCPunten[[#This Row],[Faalpad_ID]],FCPunten[[#This Row],[Knoop_ID]]),"")</f>
        <v/>
      </c>
      <c r="G37" t="str">
        <f>IF(FCPunten[[#This Row],[Beta_h]]="","",_xlfn.NORM.S.DIST(-1*FCPunten[[#This Row],[Beta_h]],TRUE))</f>
        <v/>
      </c>
      <c r="H37" s="13" t="str">
        <f>IF(FCPunten[[#This Row],[Pf_h]]="", "",-_xlfn.NORM.S.INV(FCPunten[[#This Row],[Pf_h]]))</f>
        <v/>
      </c>
    </row>
    <row r="38" spans="3:8" x14ac:dyDescent="0.25">
      <c r="C38" t="str">
        <f t="array" ref="C38">IF(SUM(FCPunten[[#This Row],[Faalpad_ID]:[Knoop_ID]])&gt;=2,INDEX(FaalpadenGegevenScenario[[Initiele_gebeurtenis]:[Vervolggebeurtenis_7]],FCPunten[[#This Row],[Faalpad_ID]],FCPunten[[#This Row],[Knoop_ID]]),"")</f>
        <v/>
      </c>
      <c r="G38" t="str">
        <f>IF(FCPunten[[#This Row],[Beta_h]]="","",_xlfn.NORM.S.DIST(-1*FCPunten[[#This Row],[Beta_h]],TRUE))</f>
        <v/>
      </c>
      <c r="H38" s="13" t="str">
        <f>IF(FCPunten[[#This Row],[Pf_h]]="", "",-_xlfn.NORM.S.INV(FCPunten[[#This Row],[Pf_h]]))</f>
        <v/>
      </c>
    </row>
    <row r="39" spans="3:8" x14ac:dyDescent="0.25">
      <c r="C39" t="str">
        <f t="array" ref="C39">IF(SUM(FCPunten[[#This Row],[Faalpad_ID]:[Knoop_ID]])&gt;=2,INDEX(FaalpadenGegevenScenario[[Initiele_gebeurtenis]:[Vervolggebeurtenis_7]],FCPunten[[#This Row],[Faalpad_ID]],FCPunten[[#This Row],[Knoop_ID]]),"")</f>
        <v/>
      </c>
      <c r="G39" t="str">
        <f>IF(FCPunten[[#This Row],[Beta_h]]="","",_xlfn.NORM.S.DIST(-1*FCPunten[[#This Row],[Beta_h]],TRUE))</f>
        <v/>
      </c>
      <c r="H39" s="13" t="str">
        <f>IF(FCPunten[[#This Row],[Pf_h]]="", "",-_xlfn.NORM.S.INV(FCPunten[[#This Row],[Pf_h]]))</f>
        <v/>
      </c>
    </row>
    <row r="40" spans="3:8" x14ac:dyDescent="0.25">
      <c r="C40" t="str">
        <f t="array" ref="C40">IF(SUM(FCPunten[[#This Row],[Faalpad_ID]:[Knoop_ID]])&gt;=2,INDEX(FaalpadenGegevenScenario[[Initiele_gebeurtenis]:[Vervolggebeurtenis_7]],FCPunten[[#This Row],[Faalpad_ID]],FCPunten[[#This Row],[Knoop_ID]]),"")</f>
        <v/>
      </c>
      <c r="G40" t="str">
        <f>IF(FCPunten[[#This Row],[Beta_h]]="","",_xlfn.NORM.S.DIST(-1*FCPunten[[#This Row],[Beta_h]],TRUE))</f>
        <v/>
      </c>
      <c r="H40" s="13" t="str">
        <f>IF(FCPunten[[#This Row],[Pf_h]]="", "",-_xlfn.NORM.S.INV(FCPunten[[#This Row],[Pf_h]]))</f>
        <v/>
      </c>
    </row>
    <row r="41" spans="3:8" x14ac:dyDescent="0.25">
      <c r="C41" t="str">
        <f t="array" ref="C41">IF(SUM(FCPunten[[#This Row],[Faalpad_ID]:[Knoop_ID]])&gt;=2,INDEX(FaalpadenGegevenScenario[[Initiele_gebeurtenis]:[Vervolggebeurtenis_7]],FCPunten[[#This Row],[Faalpad_ID]],FCPunten[[#This Row],[Knoop_ID]]),"")</f>
        <v/>
      </c>
      <c r="G41" t="str">
        <f>IF(FCPunten[[#This Row],[Beta_h]]="","",_xlfn.NORM.S.DIST(-1*FCPunten[[#This Row],[Beta_h]],TRUE))</f>
        <v/>
      </c>
      <c r="H41" s="13" t="str">
        <f>IF(FCPunten[[#This Row],[Pf_h]]="", "",-_xlfn.NORM.S.INV(FCPunten[[#This Row],[Pf_h]]))</f>
        <v/>
      </c>
    </row>
    <row r="42" spans="3:8" x14ac:dyDescent="0.25">
      <c r="C42" t="str">
        <f t="array" ref="C42">IF(SUM(FCPunten[[#This Row],[Faalpad_ID]:[Knoop_ID]])&gt;=2,INDEX(FaalpadenGegevenScenario[[Initiele_gebeurtenis]:[Vervolggebeurtenis_7]],FCPunten[[#This Row],[Faalpad_ID]],FCPunten[[#This Row],[Knoop_ID]]),"")</f>
        <v/>
      </c>
      <c r="G42" t="str">
        <f>IF(FCPunten[[#This Row],[Beta_h]]="","",_xlfn.NORM.S.DIST(-1*FCPunten[[#This Row],[Beta_h]],TRUE))</f>
        <v/>
      </c>
      <c r="H42" s="13" t="str">
        <f>IF(FCPunten[[#This Row],[Pf_h]]="", "",-_xlfn.NORM.S.INV(FCPunten[[#This Row],[Pf_h]]))</f>
        <v/>
      </c>
    </row>
    <row r="43" spans="3:8" x14ac:dyDescent="0.25">
      <c r="C43" t="str">
        <f t="array" ref="C43">IF(SUM(FCPunten[[#This Row],[Faalpad_ID]:[Knoop_ID]])&gt;=2,INDEX(FaalpadenGegevenScenario[[Initiele_gebeurtenis]:[Vervolggebeurtenis_7]],FCPunten[[#This Row],[Faalpad_ID]],FCPunten[[#This Row],[Knoop_ID]]),"")</f>
        <v/>
      </c>
      <c r="G43" t="str">
        <f>IF(FCPunten[[#This Row],[Beta_h]]="","",_xlfn.NORM.S.DIST(-1*FCPunten[[#This Row],[Beta_h]],TRUE))</f>
        <v/>
      </c>
      <c r="H43" s="13" t="str">
        <f>IF(FCPunten[[#This Row],[Pf_h]]="", "",-_xlfn.NORM.S.INV(FCPunten[[#This Row],[Pf_h]]))</f>
        <v/>
      </c>
    </row>
    <row r="44" spans="3:8" x14ac:dyDescent="0.25">
      <c r="C44" t="str">
        <f t="array" ref="C44">IF(SUM(FCPunten[[#This Row],[Faalpad_ID]:[Knoop_ID]])&gt;=2,INDEX(FaalpadenGegevenScenario[[Initiele_gebeurtenis]:[Vervolggebeurtenis_7]],FCPunten[[#This Row],[Faalpad_ID]],FCPunten[[#This Row],[Knoop_ID]]),"")</f>
        <v/>
      </c>
      <c r="G44" t="str">
        <f>IF(FCPunten[[#This Row],[Beta_h]]="","",_xlfn.NORM.S.DIST(-1*FCPunten[[#This Row],[Beta_h]],TRUE))</f>
        <v/>
      </c>
      <c r="H44" s="13" t="str">
        <f>IF(FCPunten[[#This Row],[Pf_h]]="", "",-_xlfn.NORM.S.INV(FCPunten[[#This Row],[Pf_h]]))</f>
        <v/>
      </c>
    </row>
    <row r="45" spans="3:8" x14ac:dyDescent="0.25">
      <c r="C45" t="str">
        <f t="array" ref="C45">IF(SUM(FCPunten[[#This Row],[Faalpad_ID]:[Knoop_ID]])&gt;=2,INDEX(FaalpadenGegevenScenario[[Initiele_gebeurtenis]:[Vervolggebeurtenis_7]],FCPunten[[#This Row],[Faalpad_ID]],FCPunten[[#This Row],[Knoop_ID]]),"")</f>
        <v/>
      </c>
      <c r="G45" t="str">
        <f>IF(FCPunten[[#This Row],[Beta_h]]="","",_xlfn.NORM.S.DIST(-1*FCPunten[[#This Row],[Beta_h]],TRUE))</f>
        <v/>
      </c>
      <c r="H45" s="13" t="str">
        <f>IF(FCPunten[[#This Row],[Pf_h]]="", "",-_xlfn.NORM.S.INV(FCPunten[[#This Row],[Pf_h]]))</f>
        <v/>
      </c>
    </row>
    <row r="46" spans="3:8" x14ac:dyDescent="0.25">
      <c r="C46" t="str">
        <f t="array" ref="C46">IF(SUM(FCPunten[[#This Row],[Faalpad_ID]:[Knoop_ID]])&gt;=2,INDEX(FaalpadenGegevenScenario[[Initiele_gebeurtenis]:[Vervolggebeurtenis_7]],FCPunten[[#This Row],[Faalpad_ID]],FCPunten[[#This Row],[Knoop_ID]]),"")</f>
        <v/>
      </c>
      <c r="G46" t="str">
        <f>IF(FCPunten[[#This Row],[Beta_h]]="","",_xlfn.NORM.S.DIST(-1*FCPunten[[#This Row],[Beta_h]],TRUE))</f>
        <v/>
      </c>
      <c r="H46" s="13" t="str">
        <f>IF(FCPunten[[#This Row],[Pf_h]]="", "",-_xlfn.NORM.S.INV(FCPunten[[#This Row],[Pf_h]]))</f>
        <v/>
      </c>
    </row>
    <row r="47" spans="3:8" x14ac:dyDescent="0.25">
      <c r="C47" t="str">
        <f t="array" ref="C47">IF(SUM(FCPunten[[#This Row],[Faalpad_ID]:[Knoop_ID]])&gt;=2,INDEX(FaalpadenGegevenScenario[[Initiele_gebeurtenis]:[Vervolggebeurtenis_7]],FCPunten[[#This Row],[Faalpad_ID]],FCPunten[[#This Row],[Knoop_ID]]),"")</f>
        <v/>
      </c>
      <c r="G47" t="str">
        <f>IF(FCPunten[[#This Row],[Beta_h]]="","",_xlfn.NORM.S.DIST(-1*FCPunten[[#This Row],[Beta_h]],TRUE))</f>
        <v/>
      </c>
      <c r="H47" s="13" t="str">
        <f>IF(FCPunten[[#This Row],[Pf_h]]="", "",-_xlfn.NORM.S.INV(FCPunten[[#This Row],[Pf_h]]))</f>
        <v/>
      </c>
    </row>
    <row r="48" spans="3:8" x14ac:dyDescent="0.25">
      <c r="C48" t="str">
        <f t="array" ref="C48">IF(SUM(FCPunten[[#This Row],[Faalpad_ID]:[Knoop_ID]])&gt;=2,INDEX(FaalpadenGegevenScenario[[Initiele_gebeurtenis]:[Vervolggebeurtenis_7]],FCPunten[[#This Row],[Faalpad_ID]],FCPunten[[#This Row],[Knoop_ID]]),"")</f>
        <v/>
      </c>
      <c r="G48" t="str">
        <f>IF(FCPunten[[#This Row],[Beta_h]]="","",_xlfn.NORM.S.DIST(-1*FCPunten[[#This Row],[Beta_h]],TRUE))</f>
        <v/>
      </c>
      <c r="H48" s="13" t="str">
        <f>IF(FCPunten[[#This Row],[Pf_h]]="", "",-_xlfn.NORM.S.INV(FCPunten[[#This Row],[Pf_h]]))</f>
        <v/>
      </c>
    </row>
    <row r="49" spans="3:8" x14ac:dyDescent="0.25">
      <c r="C49" t="str">
        <f t="array" ref="C49">IF(SUM(FCPunten[[#This Row],[Faalpad_ID]:[Knoop_ID]])&gt;=2,INDEX(FaalpadenGegevenScenario[[Initiele_gebeurtenis]:[Vervolggebeurtenis_7]],FCPunten[[#This Row],[Faalpad_ID]],FCPunten[[#This Row],[Knoop_ID]]),"")</f>
        <v/>
      </c>
      <c r="G49" t="str">
        <f>IF(FCPunten[[#This Row],[Beta_h]]="","",_xlfn.NORM.S.DIST(-1*FCPunten[[#This Row],[Beta_h]],TRUE))</f>
        <v/>
      </c>
      <c r="H49" s="13" t="str">
        <f>IF(FCPunten[[#This Row],[Pf_h]]="", "",-_xlfn.NORM.S.INV(FCPunten[[#This Row],[Pf_h]]))</f>
        <v/>
      </c>
    </row>
    <row r="50" spans="3:8" x14ac:dyDescent="0.25">
      <c r="C50" t="str">
        <f t="array" ref="C50">IF(SUM(FCPunten[[#This Row],[Faalpad_ID]:[Knoop_ID]])&gt;=2,INDEX(FaalpadenGegevenScenario[[Initiele_gebeurtenis]:[Vervolggebeurtenis_7]],FCPunten[[#This Row],[Faalpad_ID]],FCPunten[[#This Row],[Knoop_ID]]),"")</f>
        <v/>
      </c>
      <c r="G50" t="str">
        <f>IF(FCPunten[[#This Row],[Beta_h]]="","",_xlfn.NORM.S.DIST(-1*FCPunten[[#This Row],[Beta_h]],TRUE))</f>
        <v/>
      </c>
      <c r="H50" s="13" t="str">
        <f>IF(FCPunten[[#This Row],[Pf_h]]="", "",-_xlfn.NORM.S.INV(FCPunten[[#This Row],[Pf_h]]))</f>
        <v/>
      </c>
    </row>
    <row r="51" spans="3:8" x14ac:dyDescent="0.25">
      <c r="C51" t="str">
        <f t="array" ref="C51">IF(SUM(FCPunten[[#This Row],[Faalpad_ID]:[Knoop_ID]])&gt;=2,INDEX(FaalpadenGegevenScenario[[Initiele_gebeurtenis]:[Vervolggebeurtenis_7]],FCPunten[[#This Row],[Faalpad_ID]],FCPunten[[#This Row],[Knoop_ID]]),"")</f>
        <v/>
      </c>
      <c r="G51" t="str">
        <f>IF(FCPunten[[#This Row],[Beta_h]]="","",_xlfn.NORM.S.DIST(-1*FCPunten[[#This Row],[Beta_h]],TRUE))</f>
        <v/>
      </c>
      <c r="H51" s="13" t="str">
        <f>IF(FCPunten[[#This Row],[Pf_h]]="", "",-_xlfn.NORM.S.INV(FCPunten[[#This Row],[Pf_h]]))</f>
        <v/>
      </c>
    </row>
    <row r="52" spans="3:8" x14ac:dyDescent="0.25">
      <c r="C52" t="str">
        <f t="array" ref="C52">IF(SUM(FCPunten[[#This Row],[Faalpad_ID]:[Knoop_ID]])&gt;=2,INDEX(FaalpadenGegevenScenario[[Initiele_gebeurtenis]:[Vervolggebeurtenis_7]],FCPunten[[#This Row],[Faalpad_ID]],FCPunten[[#This Row],[Knoop_ID]]),"")</f>
        <v/>
      </c>
      <c r="G52" t="str">
        <f>IF(FCPunten[[#This Row],[Beta_h]]="","",_xlfn.NORM.S.DIST(-1*FCPunten[[#This Row],[Beta_h]],TRUE))</f>
        <v/>
      </c>
      <c r="H52" s="13" t="str">
        <f>IF(FCPunten[[#This Row],[Pf_h]]="", "",-_xlfn.NORM.S.INV(FCPunten[[#This Row],[Pf_h]]))</f>
        <v/>
      </c>
    </row>
    <row r="53" spans="3:8" x14ac:dyDescent="0.25">
      <c r="C53" t="str">
        <f t="array" ref="C53">IF(SUM(FCPunten[[#This Row],[Faalpad_ID]:[Knoop_ID]])&gt;=2,INDEX(FaalpadenGegevenScenario[[Initiele_gebeurtenis]:[Vervolggebeurtenis_7]],FCPunten[[#This Row],[Faalpad_ID]],FCPunten[[#This Row],[Knoop_ID]]),"")</f>
        <v/>
      </c>
      <c r="G53" t="str">
        <f>IF(FCPunten[[#This Row],[Beta_h]]="","",_xlfn.NORM.S.DIST(-1*FCPunten[[#This Row],[Beta_h]],TRUE))</f>
        <v/>
      </c>
      <c r="H53" s="13" t="str">
        <f>IF(FCPunten[[#This Row],[Pf_h]]="", "",-_xlfn.NORM.S.INV(FCPunten[[#This Row],[Pf_h]]))</f>
        <v/>
      </c>
    </row>
    <row r="54" spans="3:8" x14ac:dyDescent="0.25">
      <c r="C54" t="str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3" t="str">
        <f>IF(FCPunten[[#This Row],[Pf_h]]="", "",-_xlfn.NORM.S.INV(FCPunten[[#This Row],[Pf_h]]))</f>
        <v/>
      </c>
    </row>
    <row r="55" spans="3:8" x14ac:dyDescent="0.25">
      <c r="C55" t="str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G55" t="str">
        <f>IF(FCPunten[[#This Row],[Beta_h]]="","",_xlfn.NORM.S.DIST(-1*FCPunten[[#This Row],[Beta_h]],TRUE))</f>
        <v/>
      </c>
      <c r="H55" s="13" t="str">
        <f>IF(FCPunten[[#This Row],[Pf_h]]="", "",-_xlfn.NORM.S.INV(FCPunten[[#This Row],[Pf_h]]))</f>
        <v/>
      </c>
    </row>
    <row r="56" spans="3:8" x14ac:dyDescent="0.25">
      <c r="C56" t="str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3" t="str">
        <f>IF(FCPunten[[#This Row],[Pf_h]]="", "",-_xlfn.NORM.S.INV(FCPunten[[#This Row],[Pf_h]]))</f>
        <v/>
      </c>
    </row>
    <row r="57" spans="3:8" x14ac:dyDescent="0.25">
      <c r="C57" t="str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3" t="str">
        <f>IF(FCPunten[[#This Row],[Pf_h]]="", "",-_xlfn.NORM.S.INV(FCPunten[[#This Row],[Pf_h]]))</f>
        <v/>
      </c>
    </row>
    <row r="58" spans="3:8" x14ac:dyDescent="0.25">
      <c r="C58" t="str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3" t="str">
        <f>IF(FCPunten[[#This Row],[Pf_h]]="", "",-_xlfn.NORM.S.INV(FCPunten[[#This Row],[Pf_h]]))</f>
        <v/>
      </c>
    </row>
    <row r="59" spans="3:8" x14ac:dyDescent="0.25">
      <c r="C59" t="str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3" t="str">
        <f>IF(FCPunten[[#This Row],[Pf_h]]="", "",-_xlfn.NORM.S.INV(FCPunten[[#This Row],[Pf_h]]))</f>
        <v/>
      </c>
    </row>
    <row r="60" spans="3:8" x14ac:dyDescent="0.25">
      <c r="C60" t="str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3" t="str">
        <f>IF(FCPunten[[#This Row],[Pf_h]]="", "",-_xlfn.NORM.S.INV(FCPunten[[#This Row],[Pf_h]]))</f>
        <v/>
      </c>
    </row>
  </sheetData>
  <mergeCells count="3">
    <mergeCell ref="A4:B4"/>
    <mergeCell ref="A24:B24"/>
    <mergeCell ref="A11:B1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Q20" sqref="Q20"/>
    </sheetView>
  </sheetViews>
  <sheetFormatPr defaultRowHeight="15" x14ac:dyDescent="0.25"/>
  <sheetData>
    <row r="1" spans="1:2" x14ac:dyDescent="0.25">
      <c r="A1" s="19" t="s">
        <v>36</v>
      </c>
      <c r="B1" s="20" t="s">
        <v>37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2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2026-03-27T13:57:53Z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