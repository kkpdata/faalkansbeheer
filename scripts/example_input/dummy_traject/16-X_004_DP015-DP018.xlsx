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KA\sources\github\faalkansbeheer\scripts\example_input\dummy_traject\"/>
    </mc:Choice>
  </mc:AlternateContent>
  <xr:revisionPtr revIDLastSave="0" documentId="13_ncr:1_{EEFDCFD3-FA9D-4A70-8B59-9740B2DFF5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enario1" sheetId="4" r:id="rId1"/>
    <sheet name="FP_overslag" sheetId="2" r:id="rId2"/>
    <sheet name="FP_graverij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4" l="1"/>
  <c r="H60" i="4"/>
  <c r="G60" i="4"/>
  <c r="C60" i="4" a="1"/>
  <c r="C60" i="4" s="1"/>
  <c r="H59" i="4"/>
  <c r="G59" i="4"/>
  <c r="C59" i="4" a="1"/>
  <c r="C59" i="4" s="1"/>
  <c r="H58" i="4"/>
  <c r="G58" i="4"/>
  <c r="C58" i="4" a="1"/>
  <c r="C58" i="4" s="1"/>
  <c r="H57" i="4"/>
  <c r="G57" i="4"/>
  <c r="C57" i="4" a="1"/>
  <c r="C57" i="4" s="1"/>
  <c r="H56" i="4"/>
  <c r="G56" i="4"/>
  <c r="C56" i="4" a="1"/>
  <c r="C56" i="4" s="1"/>
  <c r="H55" i="4"/>
  <c r="G55" i="4"/>
  <c r="C55" i="4" a="1"/>
  <c r="C55" i="4" s="1"/>
  <c r="H54" i="4"/>
  <c r="G54" i="4"/>
  <c r="C54" i="4" a="1"/>
  <c r="C54" i="4" s="1"/>
  <c r="H53" i="4"/>
  <c r="G53" i="4"/>
  <c r="C53" i="4" a="1"/>
  <c r="C53" i="4" s="1"/>
  <c r="H52" i="4"/>
  <c r="G52" i="4"/>
  <c r="C52" i="4" a="1"/>
  <c r="C52" i="4" s="1"/>
  <c r="H51" i="4"/>
  <c r="G51" i="4"/>
  <c r="C51" i="4" a="1"/>
  <c r="C51" i="4" s="1"/>
  <c r="H50" i="4"/>
  <c r="G50" i="4"/>
  <c r="C50" i="4" a="1"/>
  <c r="C50" i="4" s="1"/>
  <c r="H49" i="4"/>
  <c r="G49" i="4"/>
  <c r="C49" i="4" a="1"/>
  <c r="C49" i="4" s="1"/>
  <c r="H48" i="4"/>
  <c r="G48" i="4"/>
  <c r="C48" i="4" a="1"/>
  <c r="C48" i="4" s="1"/>
  <c r="H47" i="4"/>
  <c r="G47" i="4"/>
  <c r="C47" i="4" a="1"/>
  <c r="C47" i="4" s="1"/>
  <c r="H46" i="4"/>
  <c r="G46" i="4"/>
  <c r="C46" i="4" a="1"/>
  <c r="C46" i="4" s="1"/>
  <c r="H45" i="4"/>
  <c r="G45" i="4"/>
  <c r="C45" i="4" a="1"/>
  <c r="C45" i="4" s="1"/>
  <c r="H44" i="4"/>
  <c r="G44" i="4"/>
  <c r="C44" i="4" a="1"/>
  <c r="C44" i="4" s="1"/>
  <c r="H43" i="4"/>
  <c r="G43" i="4"/>
  <c r="C43" i="4" a="1"/>
  <c r="C43" i="4" s="1"/>
  <c r="H42" i="4"/>
  <c r="G42" i="4"/>
  <c r="C42" i="4" a="1"/>
  <c r="C42" i="4" s="1"/>
  <c r="H41" i="4"/>
  <c r="G41" i="4"/>
  <c r="C41" i="4" a="1"/>
  <c r="C41" i="4" s="1"/>
  <c r="H40" i="4"/>
  <c r="G40" i="4"/>
  <c r="C40" i="4" a="1"/>
  <c r="C40" i="4" s="1"/>
  <c r="H39" i="4"/>
  <c r="G39" i="4"/>
  <c r="C39" i="4" a="1"/>
  <c r="C39" i="4" s="1"/>
  <c r="H38" i="4"/>
  <c r="G38" i="4"/>
  <c r="C38" i="4" a="1"/>
  <c r="C38" i="4" s="1"/>
  <c r="H37" i="4"/>
  <c r="G37" i="4"/>
  <c r="C37" i="4" a="1"/>
  <c r="C37" i="4" s="1"/>
  <c r="H36" i="4"/>
  <c r="G36" i="4"/>
  <c r="C36" i="4" a="1"/>
  <c r="C36" i="4" s="1"/>
  <c r="H35" i="4"/>
  <c r="G35" i="4"/>
  <c r="C35" i="4" a="1"/>
  <c r="C35" i="4" s="1"/>
  <c r="H34" i="4"/>
  <c r="G34" i="4"/>
  <c r="C34" i="4" a="1"/>
  <c r="C34" i="4" s="1"/>
  <c r="H33" i="4"/>
  <c r="G33" i="4"/>
  <c r="C33" i="4" a="1"/>
  <c r="C33" i="4" s="1"/>
  <c r="H32" i="4"/>
  <c r="G32" i="4"/>
  <c r="C32" i="4" a="1"/>
  <c r="C32" i="4" s="1"/>
  <c r="H31" i="4"/>
  <c r="G31" i="4"/>
  <c r="C31" i="4" a="1"/>
  <c r="C31" i="4" s="1"/>
  <c r="H30" i="4"/>
  <c r="G30" i="4"/>
  <c r="C30" i="4" a="1"/>
  <c r="C30" i="4" s="1"/>
  <c r="H29" i="4"/>
  <c r="G29" i="4"/>
  <c r="C29" i="4" a="1"/>
  <c r="C29" i="4" s="1"/>
  <c r="H28" i="4"/>
  <c r="G28" i="4"/>
  <c r="C28" i="4" a="1"/>
  <c r="C28" i="4" s="1"/>
  <c r="H27" i="4"/>
  <c r="G27" i="4"/>
  <c r="C27" i="4" a="1"/>
  <c r="C27" i="4" s="1"/>
  <c r="H26" i="4"/>
  <c r="G26" i="4"/>
  <c r="C26" i="4" a="1"/>
  <c r="C26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<sst xmlns="http://schemas.openxmlformats.org/spreadsheetml/2006/main" count="55" uniqueCount="47">
  <si>
    <t>Template:</t>
  </si>
  <si>
    <t>Metadata</t>
  </si>
  <si>
    <t>TRAJECT_ID</t>
  </si>
  <si>
    <t>M_VAN</t>
  </si>
  <si>
    <t>M_TOT</t>
  </si>
  <si>
    <t>dijkvaknummer</t>
  </si>
  <si>
    <t>Vaknaam</t>
  </si>
  <si>
    <t>LENGTE_VAK</t>
  </si>
  <si>
    <t>TYPE_WATERKERING</t>
  </si>
  <si>
    <t>Template</t>
  </si>
  <si>
    <t>Ondergrondscenario</t>
  </si>
  <si>
    <t>ScenarioKans</t>
  </si>
  <si>
    <t>M_profiel</t>
  </si>
  <si>
    <t>dwp_naam</t>
  </si>
  <si>
    <t>HR_locatie</t>
  </si>
  <si>
    <t>Kruinhoogte</t>
  </si>
  <si>
    <t>Faalpadschema</t>
  </si>
  <si>
    <t>Knoop_ID</t>
  </si>
  <si>
    <t>Faalpad_ID</t>
  </si>
  <si>
    <t>Overslag</t>
  </si>
  <si>
    <t>Indirect_mechanisme</t>
  </si>
  <si>
    <t>Initiele_gebeurtenis</t>
  </si>
  <si>
    <t>Vervolggebeurtenis_1</t>
  </si>
  <si>
    <t>Vervolggebeurtenis_2</t>
  </si>
  <si>
    <t>Vervolggebeurtenis_3</t>
  </si>
  <si>
    <t>Vervolggebeurtenis_4</t>
  </si>
  <si>
    <t>Vervolggebeurtenis_5</t>
  </si>
  <si>
    <t>Vervolggebeurtenis_6</t>
  </si>
  <si>
    <t>Vervolggebeurtenis_7</t>
  </si>
  <si>
    <t>nee</t>
  </si>
  <si>
    <t>Faalpadkansen</t>
  </si>
  <si>
    <t>of Pf|h of Beta|h invullen</t>
  </si>
  <si>
    <t>Berekening / controle</t>
  </si>
  <si>
    <t>Gebeurtenis_naam</t>
  </si>
  <si>
    <t>h</t>
  </si>
  <si>
    <t>Pf_h</t>
  </si>
  <si>
    <t>Beta_h</t>
  </si>
  <si>
    <t>Pf uit Beta</t>
  </si>
  <si>
    <t>Beta uit Pf</t>
  </si>
  <si>
    <t>Bron</t>
  </si>
  <si>
    <t>Groene dijk</t>
  </si>
  <si>
    <t>16-X</t>
  </si>
  <si>
    <t>016-01_0145_9_BO_km0954</t>
  </si>
  <si>
    <t>DP015.-DP018.</t>
  </si>
  <si>
    <t>DP016.</t>
  </si>
  <si>
    <t>fc curve</t>
  </si>
  <si>
    <t>Testcase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</si>
</sst>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b/>
      <sz val="15"/>
      <color theme="3"/>
      <name val="Calibri"/>
      <family val="2"/>
    </font>
    <font>
      <sz val="11"/>
      <color rgb="FF3F3F76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156082"/>
        <bgColor rgb="FF156082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/>
      <right/>
      <top/>
      <bottom style="thin">
        <color rgb="FF44B3E1"/>
      </bottom>
      <diagonal/>
    </border>
  </borders>
  <cellStyleXfs count="3">
    <xf numFmtId="0" fontId="0" fillId="0" borderId="0"/>
    <xf numFmtId="0" fontId="1" fillId="0" borderId="1"/>
    <xf numFmtId="0" fontId="2" fillId="2" borderId="2"/>
  </cellStyleXfs>
  <cellXfs count="30">
    <xf numFmtId="0" fontId="0" fillId="0" borderId="0" xfId="0"/>
    <xf numFmtId="0" fontId="1" fillId="0" borderId="1" xfId="1"/>
    <xf numFmtId="0" fontId="3" fillId="3" borderId="3" xfId="0" applyFont="1" applyFill="1" applyBorder="1"/>
    <xf numFmtId="0" fontId="3" fillId="3" borderId="4" xfId="0" applyFont="1" applyFill="1" applyBorder="1"/>
    <xf numFmtId="0" fontId="0" fillId="4" borderId="3" xfId="0" applyFill="1" applyBorder="1"/>
    <xf numFmtId="0" fontId="0" fillId="4" borderId="4" xfId="0" applyFill="1" applyBorder="1"/>
    <xf numFmtId="2" fontId="0" fillId="4" borderId="4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2" borderId="8" xfId="2" applyBorder="1"/>
    <xf numFmtId="0" fontId="2" fillId="2" borderId="9" xfId="2" applyBorder="1"/>
    <xf numFmtId="0" fontId="2" fillId="2" borderId="10" xfId="2" applyBorder="1"/>
    <xf numFmtId="0" fontId="2" fillId="2" borderId="11" xfId="2" applyBorder="1"/>
    <xf numFmtId="2" fontId="0" fillId="0" borderId="0" xfId="0" applyNumberFormat="1"/>
    <xf numFmtId="11" fontId="2" fillId="2" borderId="9" xfId="2" applyNumberFormat="1" applyBorder="1"/>
    <xf numFmtId="0" fontId="5" fillId="6" borderId="13" xfId="0" applyFont="1" applyFill="1" applyBorder="1"/>
    <xf numFmtId="0" fontId="5" fillId="6" borderId="14" xfId="0" applyFont="1" applyFill="1" applyBorder="1"/>
    <xf numFmtId="0" fontId="5" fillId="6" borderId="14" xfId="0" applyFont="1" applyFill="1" applyBorder="1" applyAlignment="1">
      <alignment wrapText="1"/>
    </xf>
    <xf numFmtId="0" fontId="5" fillId="6" borderId="15" xfId="0" applyFont="1" applyFill="1" applyBorder="1" applyAlignment="1">
      <alignment wrapText="1"/>
    </xf>
    <xf numFmtId="0" fontId="6" fillId="0" borderId="6" xfId="0" applyFont="1" applyBorder="1"/>
    <xf numFmtId="0" fontId="6" fillId="0" borderId="7" xfId="0" applyFont="1" applyBorder="1"/>
    <xf numFmtId="0" fontId="5" fillId="6" borderId="15" xfId="0" applyFont="1" applyFill="1" applyBorder="1"/>
    <xf numFmtId="0" fontId="5" fillId="6" borderId="16" xfId="0" applyFont="1" applyFill="1" applyBorder="1"/>
    <xf numFmtId="0" fontId="3" fillId="3" borderId="5" xfId="0" applyFont="1" applyFill="1" applyBorder="1"/>
    <xf numFmtId="0" fontId="0" fillId="4" borderId="5" xfId="0" applyFill="1" applyBorder="1"/>
    <xf numFmtId="11" fontId="0" fillId="0" borderId="0" xfId="0" applyNumberFormat="1"/>
    <xf numFmtId="0" fontId="4" fillId="5" borderId="12" xfId="0" applyFont="1" applyFill="1" applyBorder="1" applyAlignment="1">
      <alignment horizontal="center"/>
    </xf>
    <xf numFmtId="0" fontId="0" fillId="0" borderId="12" xfId="0" applyBorder="1"/>
    <xf numFmtId="0" fontId="4" fillId="5" borderId="0" xfId="0" applyFont="1" applyFill="1" applyAlignment="1">
      <alignment horizontal="center"/>
    </xf>
    <xf numFmtId="0" fontId="0" fillId="0" borderId="0" xfId="0"/>
  </cellXfs>
  <cellStyles count="3">
    <cellStyle name="Invoer" xfId="2" builtinId="20"/>
    <cellStyle name="Kop 1" xfId="1" builtinId="16"/>
    <cellStyle name="Standaard" xfId="0" builtinId="0"/>
  </cellStyles>
  <dxfs count="14">
    <dxf>
      <border outline="0">
        <bottom style="thin">
          <color rgb="FF44B3E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fill>
        <patternFill patternType="solid">
          <fgColor rgb="FF156082"/>
          <bgColor rgb="FF156082"/>
        </patternFill>
      </fill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center" vertical="bottom"/>
    </dxf>
    <dxf>
      <alignment horizontal="general" vertical="bottom" wrapText="1"/>
    </dxf>
    <dxf>
      <border outline="0">
        <bottom style="thin">
          <color rgb="FF44B3E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fill>
        <patternFill patternType="solid">
          <fgColor rgb="FF156082"/>
          <bgColor rgb="FF156082"/>
        </patternFill>
      </fill>
      <alignment horizontal="general" vertical="bottom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3E4028-DB53-44E2-B434-8A655FF5E4AE}" name="FaalpadenGegevenScenario4" displayName="FaalpadenGegevenScenario4" ref="A12:K20" totalsRowShown="0" headerRowDxfId="13" dataDxfId="11" headerRowBorderDxfId="12">
  <autoFilter ref="A12:K20" xr:uid="{00000000-0009-0000-0100-000001000000}"/>
  <tableColumns count="11">
    <tableColumn id="1" xr3:uid="{CFB27A32-C766-4F04-8347-31CE82F3FC70}" name="Faalpad_ID" dataDxfId="10"/>
    <tableColumn id="2" xr3:uid="{AF7C436A-650C-4BC1-9EF3-C2E695729CF6}" name="Overslag"/>
    <tableColumn id="3" xr3:uid="{2AEE65D0-E41D-4B0D-B81D-3EA679D089DB}" name="Indirect_mechanisme"/>
    <tableColumn id="4" xr3:uid="{BABBEEE5-DC7E-4499-BFBB-D2A5008C8CFE}" name="Initiele_gebeurtenis" dataDxfId="9"/>
    <tableColumn id="5" xr3:uid="{613F1EF1-4C5A-4614-8911-9B3E903F9AA0}" name="Vervolggebeurtenis_1" dataDxfId="8"/>
    <tableColumn id="6" xr3:uid="{27711DDB-C89F-4177-858B-4BF2531E597B}" name="Vervolggebeurtenis_2" dataDxfId="7"/>
    <tableColumn id="7" xr3:uid="{0743336A-E737-4FE0-A4D7-6645E6F1B7F3}" name="Vervolggebeurtenis_3" dataDxfId="6"/>
    <tableColumn id="8" xr3:uid="{1D4C5381-45EE-41CD-A798-5FEA13FBAE11}" name="Vervolggebeurtenis_4" dataDxfId="5"/>
    <tableColumn id="9" xr3:uid="{FBB485B4-B8E7-4DB3-9E75-E642559A87FB}" name="Vervolggebeurtenis_5" dataDxfId="4"/>
    <tableColumn id="10" xr3:uid="{1280E35C-1A64-489A-8DEC-E1A0861BA397}" name="Vervolggebeurtenis_6" dataDxfId="3"/>
    <tableColumn id="11" xr3:uid="{E5F30254-3E5B-406B-9F45-C5DCFDC944CE}" name="Vervolggebeurtenis_7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18AE64-B2DB-424E-9EA8-B554FF5ACD41}" name="FCPunten5" displayName="FCPunten5" ref="A25:I60" totalsRowShown="0" headerRowDxfId="1" headerRowBorderDxfId="0">
  <autoFilter ref="A25:I60" xr:uid="{00000000-0009-0000-0100-000002000000}"/>
  <tableColumns count="9">
    <tableColumn id="1" xr3:uid="{56245336-6600-4052-9B02-BDF48447FD62}" name="Faalpad_ID"/>
    <tableColumn id="2" xr3:uid="{ECC4AC92-16F3-4C7F-9DEA-4842274B1E0E}" name="Knoop_ID"/>
    <tableColumn id="3" xr3:uid="{5C0C9441-E2B0-4750-B896-25AF047D130F}" name="Gebeurtenis_naam">
      <calculatedColumnFormula array="1">IF(SUM(FCPunten5[[#This Row],[Faalpad_ID]:[Knoop_ID]])&gt;=2,INDEX(FaalpadenGegevenScenario4[[Initiele_gebeurtenis]:[Vervolggebeurtenis_7]],FCPunten5[[#This Row],[Faalpad_ID]],FCPunten5[[#This Row],[Knoop_ID]]),"")</calculatedColumnFormula>
    </tableColumn>
    <tableColumn id="4" xr3:uid="{E8E3567F-73A6-4FD1-8C1C-1538F70DCB45}" name="h"/>
    <tableColumn id="5" xr3:uid="{39805F4E-CDAA-4EC8-A8E9-F87E3D6E7FE3}" name="Pf_h"/>
    <tableColumn id="6" xr3:uid="{EA210056-5575-4036-A0B6-CEBDB48D934D}" name="Beta_h"/>
    <tableColumn id="7" xr3:uid="{11077DE1-97C4-4A9B-892E-C6F0858E63E4}" name="Pf uit Beta">
      <calculatedColumnFormula>IF(FCPunten5[[#This Row],[Beta_h]]="","",_xlfn.NORM.S.DIST(-1*FCPunten5[[#This Row],[Beta_h]],TRUE))</calculatedColumnFormula>
    </tableColumn>
    <tableColumn id="8" xr3:uid="{D7DF1F35-353C-42F1-B3CF-F8068A8344F7}" name="Beta uit Pf">
      <calculatedColumnFormula>IF(FCPunten5[[#This Row],[Pf_h]]="", "",-_xlfn.NORM.S.INV(FCPunten5[[#This Row],[Pf_h]]))</calculatedColumnFormula>
    </tableColumn>
    <tableColumn id="9" xr3:uid="{788E66BE-86C4-4E31-9618-0437FD9FE5CE}" name="Br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323B1-4256-4914-AE70-97F43BCEFB63}">
  <dimension ref="A1:N60"/>
  <sheetViews>
    <sheetView tabSelected="1" zoomScale="115" zoomScaleNormal="115" workbookViewId="0">
      <selection activeCell="G7" sqref="G7"/>
    </sheetView>
  </sheetViews>
  <sheetFormatPr defaultRowHeight="15" x14ac:dyDescent="0.25"/>
  <cols>
    <col min="1" max="1" width="13.5703125" bestFit="1" customWidth="1"/>
    <col min="2" max="2" width="17.140625" customWidth="1"/>
    <col min="3" max="3" width="22.140625" bestFit="1" customWidth="1"/>
    <col min="4" max="11" width="16.42578125" customWidth="1"/>
    <col min="12" max="12" width="18.28515625" customWidth="1"/>
    <col min="13" max="13" width="27" bestFit="1" customWidth="1"/>
    <col min="16" max="16" width="45" bestFit="1" customWidth="1"/>
  </cols>
  <sheetData>
    <row r="1" spans="1:14" ht="20.25" customHeight="1" thickBot="1" x14ac:dyDescent="0.35">
      <c r="A1" s="1" t="s">
        <v>0</v>
      </c>
      <c r="B1" s="1" t="s">
        <v>40</v>
      </c>
    </row>
    <row r="2" spans="1:14" ht="15.75" customHeight="1" thickTop="1" x14ac:dyDescent="0.25"/>
    <row r="4" spans="1:14" x14ac:dyDescent="0.25">
      <c r="A4" s="26" t="s">
        <v>1</v>
      </c>
      <c r="B4" s="27"/>
    </row>
    <row r="5" spans="1:14" x14ac:dyDescent="0.25">
      <c r="A5" s="2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23" t="s">
        <v>15</v>
      </c>
    </row>
    <row r="6" spans="1:14" x14ac:dyDescent="0.25">
      <c r="A6" s="4" t="s">
        <v>41</v>
      </c>
      <c r="B6" s="5">
        <v>1500</v>
      </c>
      <c r="C6" s="5">
        <v>1800</v>
      </c>
      <c r="D6" s="5">
        <v>4</v>
      </c>
      <c r="E6" s="5" t="s">
        <v>43</v>
      </c>
      <c r="F6" s="5">
        <f>C6-B6</f>
        <v>300</v>
      </c>
      <c r="G6" s="5" t="s">
        <v>46</v>
      </c>
      <c r="H6" s="5" t="s">
        <v>40</v>
      </c>
      <c r="I6" s="5">
        <v>1</v>
      </c>
      <c r="J6" s="6">
        <v>1</v>
      </c>
      <c r="K6" s="6">
        <v>1600</v>
      </c>
      <c r="L6" s="6" t="s">
        <v>44</v>
      </c>
      <c r="M6" s="6" t="s">
        <v>42</v>
      </c>
      <c r="N6" s="24">
        <v>7</v>
      </c>
    </row>
    <row r="11" spans="1:14" x14ac:dyDescent="0.25">
      <c r="A11" s="28" t="s">
        <v>16</v>
      </c>
      <c r="B11" s="29"/>
      <c r="C11" t="s">
        <v>17</v>
      </c>
      <c r="D11" s="7">
        <v>1</v>
      </c>
      <c r="E11" s="7">
        <v>2</v>
      </c>
      <c r="F11" s="7">
        <v>3</v>
      </c>
      <c r="G11" s="7">
        <v>4</v>
      </c>
      <c r="H11" s="7">
        <v>5</v>
      </c>
      <c r="I11" s="7">
        <v>6</v>
      </c>
      <c r="J11" s="7">
        <v>7</v>
      </c>
      <c r="K11" s="7">
        <v>8</v>
      </c>
    </row>
    <row r="12" spans="1:14" ht="30" customHeight="1" x14ac:dyDescent="0.25">
      <c r="A12" s="15" t="s">
        <v>18</v>
      </c>
      <c r="B12" s="16" t="s">
        <v>19</v>
      </c>
      <c r="C12" s="16" t="s">
        <v>20</v>
      </c>
      <c r="D12" s="17" t="s">
        <v>21</v>
      </c>
      <c r="E12" s="17" t="s">
        <v>22</v>
      </c>
      <c r="F12" s="17" t="s">
        <v>23</v>
      </c>
      <c r="G12" s="17" t="s">
        <v>24</v>
      </c>
      <c r="H12" s="17" t="s">
        <v>25</v>
      </c>
      <c r="I12" s="17" t="s">
        <v>26</v>
      </c>
      <c r="J12" s="17" t="s">
        <v>27</v>
      </c>
      <c r="K12" s="18" t="s">
        <v>28</v>
      </c>
    </row>
    <row r="13" spans="1:14" x14ac:dyDescent="0.25">
      <c r="A13" s="7">
        <v>1</v>
      </c>
      <c r="B13" t="s">
        <v>29</v>
      </c>
      <c r="C13" t="s">
        <v>29</v>
      </c>
      <c r="D13" s="8" t="s">
        <v>45</v>
      </c>
      <c r="E13" s="8"/>
      <c r="F13" s="8"/>
      <c r="G13" s="8"/>
      <c r="H13" s="8"/>
      <c r="I13" s="8"/>
      <c r="J13" s="8"/>
      <c r="K13" s="8"/>
    </row>
    <row r="14" spans="1:14" x14ac:dyDescent="0.25">
      <c r="A14" s="7">
        <v>2</v>
      </c>
      <c r="D14" s="8"/>
      <c r="E14" s="8"/>
      <c r="F14" s="8"/>
      <c r="G14" s="8"/>
      <c r="H14" s="8"/>
      <c r="I14" s="8"/>
      <c r="J14" s="8"/>
      <c r="K14" s="8"/>
    </row>
    <row r="15" spans="1:14" x14ac:dyDescent="0.25">
      <c r="A15" s="7">
        <v>3</v>
      </c>
      <c r="D15" s="8"/>
      <c r="E15" s="8"/>
      <c r="F15" s="8"/>
      <c r="G15" s="8"/>
      <c r="H15" s="8"/>
      <c r="I15" s="8"/>
      <c r="J15" s="8"/>
      <c r="K15" s="8"/>
    </row>
    <row r="16" spans="1:14" x14ac:dyDescent="0.25">
      <c r="A16" s="7">
        <v>4</v>
      </c>
      <c r="D16" s="8"/>
      <c r="E16" s="8"/>
      <c r="F16" s="8"/>
      <c r="G16" s="8"/>
      <c r="H16" s="8"/>
      <c r="I16" s="8"/>
      <c r="J16" s="8"/>
      <c r="K16" s="8"/>
    </row>
    <row r="17" spans="1:11" x14ac:dyDescent="0.25">
      <c r="A17" s="7">
        <v>5</v>
      </c>
      <c r="D17" s="8"/>
      <c r="E17" s="8"/>
      <c r="F17" s="8"/>
      <c r="G17" s="8"/>
      <c r="H17" s="8"/>
      <c r="I17" s="8"/>
      <c r="J17" s="8"/>
      <c r="K17" s="8"/>
    </row>
    <row r="18" spans="1:11" x14ac:dyDescent="0.25">
      <c r="A18" s="7">
        <v>6</v>
      </c>
      <c r="D18" s="8"/>
      <c r="E18" s="8"/>
      <c r="F18" s="8"/>
      <c r="G18" s="8"/>
      <c r="H18" s="8"/>
      <c r="I18" s="8"/>
      <c r="J18" s="8"/>
      <c r="K18" s="8"/>
    </row>
    <row r="19" spans="1:11" x14ac:dyDescent="0.25">
      <c r="A19" s="7">
        <v>7</v>
      </c>
      <c r="D19" s="8"/>
      <c r="E19" s="8"/>
      <c r="F19" s="8"/>
      <c r="G19" s="8"/>
      <c r="H19" s="8"/>
      <c r="I19" s="8"/>
      <c r="J19" s="8"/>
      <c r="K19" s="8"/>
    </row>
    <row r="20" spans="1:11" x14ac:dyDescent="0.25">
      <c r="A20" s="7">
        <v>8</v>
      </c>
      <c r="D20" s="8"/>
      <c r="E20" s="8"/>
      <c r="F20" s="8"/>
      <c r="G20" s="8"/>
      <c r="H20" s="8"/>
      <c r="I20" s="8"/>
      <c r="J20" s="8"/>
      <c r="K20" s="8"/>
    </row>
    <row r="24" spans="1:11" x14ac:dyDescent="0.25">
      <c r="A24" s="28" t="s">
        <v>30</v>
      </c>
      <c r="B24" s="29"/>
      <c r="E24" t="s">
        <v>31</v>
      </c>
      <c r="G24" t="s">
        <v>32</v>
      </c>
    </row>
    <row r="25" spans="1:11" x14ac:dyDescent="0.25">
      <c r="A25" s="15" t="s">
        <v>18</v>
      </c>
      <c r="B25" s="16" t="s">
        <v>17</v>
      </c>
      <c r="C25" s="16" t="s">
        <v>33</v>
      </c>
      <c r="D25" s="16" t="s">
        <v>34</v>
      </c>
      <c r="E25" s="16" t="s">
        <v>35</v>
      </c>
      <c r="F25" s="16" t="s">
        <v>36</v>
      </c>
      <c r="G25" s="16" t="s">
        <v>37</v>
      </c>
      <c r="H25" s="21" t="s">
        <v>38</v>
      </c>
      <c r="I25" s="22" t="s">
        <v>39</v>
      </c>
    </row>
    <row r="26" spans="1:11" x14ac:dyDescent="0.25">
      <c r="A26">
        <v>1</v>
      </c>
      <c r="B26">
        <v>1</v>
      </c>
      <c r="C26" t="str" cm="1">
        <f t="array" ref="C26">IF(SUM(FCPunten5[[#This Row],[Faalpad_ID]:[Knoop_ID]])&gt;=2,INDEX(FaalpadenGegevenScenario4[[Initiele_gebeurtenis]:[Vervolggebeurtenis_7]],FCPunten5[[#This Row],[Faalpad_ID]],FCPunten5[[#This Row],[Knoop_ID]]),"")</f>
        <v>fc curve</v>
      </c>
      <c r="D26">
        <v>0</v>
      </c>
      <c r="E26" s="25">
        <v>6.2209605201427804E-16</v>
      </c>
      <c r="G26" t="str">
        <f>IF(FCPunten5[[#This Row],[Beta_h]]="","",_xlfn.NORM.S.DIST(-1*FCPunten5[[#This Row],[Beta_h]],TRUE))</f>
        <v/>
      </c>
      <c r="H26" s="13">
        <f>IF(FCPunten5[[#This Row],[Pf_h]]="", "",-_xlfn.NORM.S.INV(FCPunten5[[#This Row],[Pf_h]]))</f>
        <v>8.0000000010713794</v>
      </c>
    </row>
    <row r="27" spans="1:11" x14ac:dyDescent="0.25">
      <c r="A27">
        <v>1</v>
      </c>
      <c r="B27">
        <v>1</v>
      </c>
      <c r="C27" t="str">
        <f t="array" ref="C27">IF(SUM(FCPunten5[[#This Row],[Faalpad_ID]:[Knoop_ID]])&gt;=2,INDEX(FaalpadenGegevenScenario4[[Initiele_gebeurtenis]:[Vervolggebeurtenis_7]],FCPunten5[[#This Row],[Faalpad_ID]],FCPunten5[[#This Row],[Knoop_ID]]),"")</f>
        <v>fc curve</v>
      </c>
      <c r="D27">
        <v>5</v>
      </c>
      <c r="E27" s="25">
        <v>2.2750131948179202E-2</v>
      </c>
      <c r="G27" t="str">
        <f>IF(FCPunten5[[#This Row],[Beta_h]]="","",_xlfn.NORM.S.DIST(-1*FCPunten5[[#This Row],[Beta_h]],TRUE))</f>
        <v/>
      </c>
      <c r="H27" s="13">
        <f>IF(FCPunten5[[#This Row],[Pf_h]]="", "",-_xlfn.NORM.S.INV(FCPunten5[[#This Row],[Pf_h]]))</f>
        <v>2</v>
      </c>
    </row>
    <row r="28" spans="1:11" x14ac:dyDescent="0.25">
      <c r="C28" t="str">
        <f t="array" ref="C28">IF(SUM(FCPunten5[[#This Row],[Faalpad_ID]:[Knoop_ID]])&gt;=2,INDEX(FaalpadenGegevenScenario4[[Initiele_gebeurtenis]:[Vervolggebeurtenis_7]],FCPunten5[[#This Row],[Faalpad_ID]],FCPunten5[[#This Row],[Knoop_ID]]),"")</f>
        <v/>
      </c>
      <c r="E28" s="25"/>
      <c r="G28" t="str">
        <f>IF(FCPunten5[[#This Row],[Beta_h]]="","",_xlfn.NORM.S.DIST(-1*FCPunten5[[#This Row],[Beta_h]],TRUE))</f>
        <v/>
      </c>
      <c r="H28" s="13" t="str">
        <f>IF(FCPunten5[[#This Row],[Pf_h]]="", "",-_xlfn.NORM.S.INV(FCPunten5[[#This Row],[Pf_h]]))</f>
        <v/>
      </c>
    </row>
    <row r="29" spans="1:11" x14ac:dyDescent="0.25">
      <c r="C29" t="str">
        <f t="array" ref="C29">IF(SUM(FCPunten5[[#This Row],[Faalpad_ID]:[Knoop_ID]])&gt;=2,INDEX(FaalpadenGegevenScenario4[[Initiele_gebeurtenis]:[Vervolggebeurtenis_7]],FCPunten5[[#This Row],[Faalpad_ID]],FCPunten5[[#This Row],[Knoop_ID]]),"")</f>
        <v/>
      </c>
      <c r="E29" s="25"/>
      <c r="G29" t="str">
        <f>IF(FCPunten5[[#This Row],[Beta_h]]="","",_xlfn.NORM.S.DIST(-1*FCPunten5[[#This Row],[Beta_h]],TRUE))</f>
        <v/>
      </c>
      <c r="H29" s="13" t="str">
        <f>IF(FCPunten5[[#This Row],[Pf_h]]="", "",-_xlfn.NORM.S.INV(FCPunten5[[#This Row],[Pf_h]]))</f>
        <v/>
      </c>
    </row>
    <row r="30" spans="1:11" x14ac:dyDescent="0.25">
      <c r="C30" t="str">
        <f t="array" ref="C30">IF(SUM(FCPunten5[[#This Row],[Faalpad_ID]:[Knoop_ID]])&gt;=2,INDEX(FaalpadenGegevenScenario4[[Initiele_gebeurtenis]:[Vervolggebeurtenis_7]],FCPunten5[[#This Row],[Faalpad_ID]],FCPunten5[[#This Row],[Knoop_ID]]),"")</f>
        <v/>
      </c>
      <c r="E30" s="25"/>
      <c r="G30" t="str">
        <f>IF(FCPunten5[[#This Row],[Beta_h]]="","",_xlfn.NORM.S.DIST(-1*FCPunten5[[#This Row],[Beta_h]],TRUE))</f>
        <v/>
      </c>
      <c r="H30" s="13" t="str">
        <f>IF(FCPunten5[[#This Row],[Pf_h]]="", "",-_xlfn.NORM.S.INV(FCPunten5[[#This Row],[Pf_h]]))</f>
        <v/>
      </c>
    </row>
    <row r="31" spans="1:11" x14ac:dyDescent="0.25">
      <c r="C31" t="str">
        <f t="array" ref="C31">IF(SUM(FCPunten5[[#This Row],[Faalpad_ID]:[Knoop_ID]])&gt;=2,INDEX(FaalpadenGegevenScenario4[[Initiele_gebeurtenis]:[Vervolggebeurtenis_7]],FCPunten5[[#This Row],[Faalpad_ID]],FCPunten5[[#This Row],[Knoop_ID]]),"")</f>
        <v/>
      </c>
      <c r="G31" t="str">
        <f>IF(FCPunten5[[#This Row],[Beta_h]]="","",_xlfn.NORM.S.DIST(-1*FCPunten5[[#This Row],[Beta_h]],TRUE))</f>
        <v/>
      </c>
      <c r="H31" s="13" t="str">
        <f>IF(FCPunten5[[#This Row],[Pf_h]]="", "",-_xlfn.NORM.S.INV(FCPunten5[[#This Row],[Pf_h]]))</f>
        <v/>
      </c>
    </row>
    <row r="32" spans="1:11" x14ac:dyDescent="0.25">
      <c r="C32" t="str">
        <f t="array" ref="C32">IF(SUM(FCPunten5[[#This Row],[Faalpad_ID]:[Knoop_ID]])&gt;=2,INDEX(FaalpadenGegevenScenario4[[Initiele_gebeurtenis]:[Vervolggebeurtenis_7]],FCPunten5[[#This Row],[Faalpad_ID]],FCPunten5[[#This Row],[Knoop_ID]]),"")</f>
        <v/>
      </c>
      <c r="G32" t="str">
        <f>IF(FCPunten5[[#This Row],[Beta_h]]="","",_xlfn.NORM.S.DIST(-1*FCPunten5[[#This Row],[Beta_h]],TRUE))</f>
        <v/>
      </c>
      <c r="H32" s="13" t="str">
        <f>IF(FCPunten5[[#This Row],[Pf_h]]="", "",-_xlfn.NORM.S.INV(FCPunten5[[#This Row],[Pf_h]]))</f>
        <v/>
      </c>
    </row>
    <row r="33" spans="3:8" x14ac:dyDescent="0.25">
      <c r="C33" t="str">
        <f t="array" ref="C33">IF(SUM(FCPunten5[[#This Row],[Faalpad_ID]:[Knoop_ID]])&gt;=2,INDEX(FaalpadenGegevenScenario4[[Initiele_gebeurtenis]:[Vervolggebeurtenis_7]],FCPunten5[[#This Row],[Faalpad_ID]],FCPunten5[[#This Row],[Knoop_ID]]),"")</f>
        <v/>
      </c>
      <c r="E33" s="25"/>
      <c r="G33" t="str">
        <f>IF(FCPunten5[[#This Row],[Beta_h]]="","",_xlfn.NORM.S.DIST(-1*FCPunten5[[#This Row],[Beta_h]],TRUE))</f>
        <v/>
      </c>
      <c r="H33" s="13" t="str">
        <f>IF(FCPunten5[[#This Row],[Pf_h]]="", "",-_xlfn.NORM.S.INV(FCPunten5[[#This Row],[Pf_h]]))</f>
        <v/>
      </c>
    </row>
    <row r="34" spans="3:8" x14ac:dyDescent="0.25">
      <c r="C34" t="str">
        <f t="array" ref="C34">IF(SUM(FCPunten5[[#This Row],[Faalpad_ID]:[Knoop_ID]])&gt;=2,INDEX(FaalpadenGegevenScenario4[[Initiele_gebeurtenis]:[Vervolggebeurtenis_7]],FCPunten5[[#This Row],[Faalpad_ID]],FCPunten5[[#This Row],[Knoop_ID]]),"")</f>
        <v/>
      </c>
      <c r="G34" t="str">
        <f>IF(FCPunten5[[#This Row],[Beta_h]]="","",_xlfn.NORM.S.DIST(-1*FCPunten5[[#This Row],[Beta_h]],TRUE))</f>
        <v/>
      </c>
      <c r="H34" s="13" t="str">
        <f>IF(FCPunten5[[#This Row],[Pf_h]]="", "",-_xlfn.NORM.S.INV(FCPunten5[[#This Row],[Pf_h]]))</f>
        <v/>
      </c>
    </row>
    <row r="35" spans="3:8" x14ac:dyDescent="0.25">
      <c r="C35" t="str">
        <f t="array" ref="C35">IF(SUM(FCPunten5[[#This Row],[Faalpad_ID]:[Knoop_ID]])&gt;=2,INDEX(FaalpadenGegevenScenario4[[Initiele_gebeurtenis]:[Vervolggebeurtenis_7]],FCPunten5[[#This Row],[Faalpad_ID]],FCPunten5[[#This Row],[Knoop_ID]]),"")</f>
        <v/>
      </c>
      <c r="G35" t="str">
        <f>IF(FCPunten5[[#This Row],[Beta_h]]="","",_xlfn.NORM.S.DIST(-1*FCPunten5[[#This Row],[Beta_h]],TRUE))</f>
        <v/>
      </c>
      <c r="H35" s="13" t="str">
        <f>IF(FCPunten5[[#This Row],[Pf_h]]="", "",-_xlfn.NORM.S.INV(FCPunten5[[#This Row],[Pf_h]]))</f>
        <v/>
      </c>
    </row>
    <row r="36" spans="3:8" x14ac:dyDescent="0.25">
      <c r="C36" t="str">
        <f t="array" ref="C36">IF(SUM(FCPunten5[[#This Row],[Faalpad_ID]:[Knoop_ID]])&gt;=2,INDEX(FaalpadenGegevenScenario4[[Initiele_gebeurtenis]:[Vervolggebeurtenis_7]],FCPunten5[[#This Row],[Faalpad_ID]],FCPunten5[[#This Row],[Knoop_ID]]),"")</f>
        <v/>
      </c>
      <c r="G36" t="str">
        <f>IF(FCPunten5[[#This Row],[Beta_h]]="","",_xlfn.NORM.S.DIST(-1*FCPunten5[[#This Row],[Beta_h]],TRUE))</f>
        <v/>
      </c>
      <c r="H36" s="13" t="str">
        <f>IF(FCPunten5[[#This Row],[Pf_h]]="", "",-_xlfn.NORM.S.INV(FCPunten5[[#This Row],[Pf_h]]))</f>
        <v/>
      </c>
    </row>
    <row r="37" spans="3:8" x14ac:dyDescent="0.25">
      <c r="C37" t="str">
        <f t="array" ref="C37">IF(SUM(FCPunten5[[#This Row],[Faalpad_ID]:[Knoop_ID]])&gt;=2,INDEX(FaalpadenGegevenScenario4[[Initiele_gebeurtenis]:[Vervolggebeurtenis_7]],FCPunten5[[#This Row],[Faalpad_ID]],FCPunten5[[#This Row],[Knoop_ID]]),"")</f>
        <v/>
      </c>
      <c r="G37" t="str">
        <f>IF(FCPunten5[[#This Row],[Beta_h]]="","",_xlfn.NORM.S.DIST(-1*FCPunten5[[#This Row],[Beta_h]],TRUE))</f>
        <v/>
      </c>
      <c r="H37" s="13" t="str">
        <f>IF(FCPunten5[[#This Row],[Pf_h]]="", "",-_xlfn.NORM.S.INV(FCPunten5[[#This Row],[Pf_h]]))</f>
        <v/>
      </c>
    </row>
    <row r="38" spans="3:8" x14ac:dyDescent="0.25">
      <c r="C38" t="str">
        <f t="array" ref="C38">IF(SUM(FCPunten5[[#This Row],[Faalpad_ID]:[Knoop_ID]])&gt;=2,INDEX(FaalpadenGegevenScenario4[[Initiele_gebeurtenis]:[Vervolggebeurtenis_7]],FCPunten5[[#This Row],[Faalpad_ID]],FCPunten5[[#This Row],[Knoop_ID]]),"")</f>
        <v/>
      </c>
      <c r="G38" t="str">
        <f>IF(FCPunten5[[#This Row],[Beta_h]]="","",_xlfn.NORM.S.DIST(-1*FCPunten5[[#This Row],[Beta_h]],TRUE))</f>
        <v/>
      </c>
      <c r="H38" s="13" t="str">
        <f>IF(FCPunten5[[#This Row],[Pf_h]]="", "",-_xlfn.NORM.S.INV(FCPunten5[[#This Row],[Pf_h]]))</f>
        <v/>
      </c>
    </row>
    <row r="39" spans="3:8" x14ac:dyDescent="0.25">
      <c r="C39" t="str">
        <f t="array" ref="C39">IF(SUM(FCPunten5[[#This Row],[Faalpad_ID]:[Knoop_ID]])&gt;=2,INDEX(FaalpadenGegevenScenario4[[Initiele_gebeurtenis]:[Vervolggebeurtenis_7]],FCPunten5[[#This Row],[Faalpad_ID]],FCPunten5[[#This Row],[Knoop_ID]]),"")</f>
        <v/>
      </c>
      <c r="E39" s="25"/>
      <c r="G39" t="str">
        <f>IF(FCPunten5[[#This Row],[Beta_h]]="","",_xlfn.NORM.S.DIST(-1*FCPunten5[[#This Row],[Beta_h]],TRUE))</f>
        <v/>
      </c>
      <c r="H39" s="13" t="str">
        <f>IF(FCPunten5[[#This Row],[Pf_h]]="", "",-_xlfn.NORM.S.INV(FCPunten5[[#This Row],[Pf_h]]))</f>
        <v/>
      </c>
    </row>
    <row r="40" spans="3:8" x14ac:dyDescent="0.25">
      <c r="C40" t="str">
        <f t="array" ref="C40">IF(SUM(FCPunten5[[#This Row],[Faalpad_ID]:[Knoop_ID]])&gt;=2,INDEX(FaalpadenGegevenScenario4[[Initiele_gebeurtenis]:[Vervolggebeurtenis_7]],FCPunten5[[#This Row],[Faalpad_ID]],FCPunten5[[#This Row],[Knoop_ID]]),"")</f>
        <v/>
      </c>
      <c r="E40" s="25"/>
      <c r="G40" t="str">
        <f>IF(FCPunten5[[#This Row],[Beta_h]]="","",_xlfn.NORM.S.DIST(-1*FCPunten5[[#This Row],[Beta_h]],TRUE))</f>
        <v/>
      </c>
      <c r="H40" s="13" t="str">
        <f>IF(FCPunten5[[#This Row],[Pf_h]]="", "",-_xlfn.NORM.S.INV(FCPunten5[[#This Row],[Pf_h]]))</f>
        <v/>
      </c>
    </row>
    <row r="41" spans="3:8" x14ac:dyDescent="0.25">
      <c r="C41" t="str">
        <f t="array" ref="C41">IF(SUM(FCPunten5[[#This Row],[Faalpad_ID]:[Knoop_ID]])&gt;=2,INDEX(FaalpadenGegevenScenario4[[Initiele_gebeurtenis]:[Vervolggebeurtenis_7]],FCPunten5[[#This Row],[Faalpad_ID]],FCPunten5[[#This Row],[Knoop_ID]]),"")</f>
        <v/>
      </c>
      <c r="E41" s="25"/>
      <c r="G41" t="str">
        <f>IF(FCPunten5[[#This Row],[Beta_h]]="","",_xlfn.NORM.S.DIST(-1*FCPunten5[[#This Row],[Beta_h]],TRUE))</f>
        <v/>
      </c>
      <c r="H41" s="13" t="str">
        <f>IF(FCPunten5[[#This Row],[Pf_h]]="", "",-_xlfn.NORM.S.INV(FCPunten5[[#This Row],[Pf_h]]))</f>
        <v/>
      </c>
    </row>
    <row r="42" spans="3:8" x14ac:dyDescent="0.25">
      <c r="C42" t="str">
        <f t="array" ref="C42">IF(SUM(FCPunten5[[#This Row],[Faalpad_ID]:[Knoop_ID]])&gt;=2,INDEX(FaalpadenGegevenScenario4[[Initiele_gebeurtenis]:[Vervolggebeurtenis_7]],FCPunten5[[#This Row],[Faalpad_ID]],FCPunten5[[#This Row],[Knoop_ID]]),"")</f>
        <v/>
      </c>
      <c r="E42" s="25"/>
      <c r="G42" t="str">
        <f>IF(FCPunten5[[#This Row],[Beta_h]]="","",_xlfn.NORM.S.DIST(-1*FCPunten5[[#This Row],[Beta_h]],TRUE))</f>
        <v/>
      </c>
      <c r="H42" s="13" t="str">
        <f>IF(FCPunten5[[#This Row],[Pf_h]]="", "",-_xlfn.NORM.S.INV(FCPunten5[[#This Row],[Pf_h]]))</f>
        <v/>
      </c>
    </row>
    <row r="43" spans="3:8" x14ac:dyDescent="0.25">
      <c r="C43" t="str">
        <f t="array" ref="C43">IF(SUM(FCPunten5[[#This Row],[Faalpad_ID]:[Knoop_ID]])&gt;=2,INDEX(FaalpadenGegevenScenario4[[Initiele_gebeurtenis]:[Vervolggebeurtenis_7]],FCPunten5[[#This Row],[Faalpad_ID]],FCPunten5[[#This Row],[Knoop_ID]]),"")</f>
        <v/>
      </c>
      <c r="E43" s="25"/>
      <c r="G43" t="str">
        <f>IF(FCPunten5[[#This Row],[Beta_h]]="","",_xlfn.NORM.S.DIST(-1*FCPunten5[[#This Row],[Beta_h]],TRUE))</f>
        <v/>
      </c>
      <c r="H43" s="13" t="str">
        <f>IF(FCPunten5[[#This Row],[Pf_h]]="", "",-_xlfn.NORM.S.INV(FCPunten5[[#This Row],[Pf_h]]))</f>
        <v/>
      </c>
    </row>
    <row r="44" spans="3:8" x14ac:dyDescent="0.25">
      <c r="C44" t="str">
        <f t="array" ref="C44">IF(SUM(FCPunten5[[#This Row],[Faalpad_ID]:[Knoop_ID]])&gt;=2,INDEX(FaalpadenGegevenScenario4[[Initiele_gebeurtenis]:[Vervolggebeurtenis_7]],FCPunten5[[#This Row],[Faalpad_ID]],FCPunten5[[#This Row],[Knoop_ID]]),"")</f>
        <v/>
      </c>
      <c r="G44" t="str">
        <f>IF(FCPunten5[[#This Row],[Beta_h]]="","",_xlfn.NORM.S.DIST(-1*FCPunten5[[#This Row],[Beta_h]],TRUE))</f>
        <v/>
      </c>
      <c r="H44" s="13" t="str">
        <f>IF(FCPunten5[[#This Row],[Pf_h]]="", "",-_xlfn.NORM.S.INV(FCPunten5[[#This Row],[Pf_h]]))</f>
        <v/>
      </c>
    </row>
    <row r="45" spans="3:8" x14ac:dyDescent="0.25">
      <c r="C45" t="str">
        <f t="array" ref="C45">IF(SUM(FCPunten5[[#This Row],[Faalpad_ID]:[Knoop_ID]])&gt;=2,INDEX(FaalpadenGegevenScenario4[[Initiele_gebeurtenis]:[Vervolggebeurtenis_7]],FCPunten5[[#This Row],[Faalpad_ID]],FCPunten5[[#This Row],[Knoop_ID]]),"")</f>
        <v/>
      </c>
      <c r="G45" t="str">
        <f>IF(FCPunten5[[#This Row],[Beta_h]]="","",_xlfn.NORM.S.DIST(-1*FCPunten5[[#This Row],[Beta_h]],TRUE))</f>
        <v/>
      </c>
      <c r="H45" s="13" t="str">
        <f>IF(FCPunten5[[#This Row],[Pf_h]]="", "",-_xlfn.NORM.S.INV(FCPunten5[[#This Row],[Pf_h]]))</f>
        <v/>
      </c>
    </row>
    <row r="46" spans="3:8" x14ac:dyDescent="0.25">
      <c r="C46" t="str">
        <f t="array" ref="C46">IF(SUM(FCPunten5[[#This Row],[Faalpad_ID]:[Knoop_ID]])&gt;=2,INDEX(FaalpadenGegevenScenario4[[Initiele_gebeurtenis]:[Vervolggebeurtenis_7]],FCPunten5[[#This Row],[Faalpad_ID]],FCPunten5[[#This Row],[Knoop_ID]]),"")</f>
        <v/>
      </c>
      <c r="G46" t="str">
        <f>IF(FCPunten5[[#This Row],[Beta_h]]="","",_xlfn.NORM.S.DIST(-1*FCPunten5[[#This Row],[Beta_h]],TRUE))</f>
        <v/>
      </c>
      <c r="H46" s="13" t="str">
        <f>IF(FCPunten5[[#This Row],[Pf_h]]="", "",-_xlfn.NORM.S.INV(FCPunten5[[#This Row],[Pf_h]]))</f>
        <v/>
      </c>
    </row>
    <row r="47" spans="3:8" x14ac:dyDescent="0.25">
      <c r="C47" t="str">
        <f t="array" ref="C47">IF(SUM(FCPunten5[[#This Row],[Faalpad_ID]:[Knoop_ID]])&gt;=2,INDEX(FaalpadenGegevenScenario4[[Initiele_gebeurtenis]:[Vervolggebeurtenis_7]],FCPunten5[[#This Row],[Faalpad_ID]],FCPunten5[[#This Row],[Knoop_ID]]),"")</f>
        <v/>
      </c>
      <c r="G47" t="str">
        <f>IF(FCPunten5[[#This Row],[Beta_h]]="","",_xlfn.NORM.S.DIST(-1*FCPunten5[[#This Row],[Beta_h]],TRUE))</f>
        <v/>
      </c>
      <c r="H47" s="13" t="str">
        <f>IF(FCPunten5[[#This Row],[Pf_h]]="", "",-_xlfn.NORM.S.INV(FCPunten5[[#This Row],[Pf_h]]))</f>
        <v/>
      </c>
    </row>
    <row r="48" spans="3:8" x14ac:dyDescent="0.25">
      <c r="C48" t="str">
        <f t="array" ref="C48">IF(SUM(FCPunten5[[#This Row],[Faalpad_ID]:[Knoop_ID]])&gt;=2,INDEX(FaalpadenGegevenScenario4[[Initiele_gebeurtenis]:[Vervolggebeurtenis_7]],FCPunten5[[#This Row],[Faalpad_ID]],FCPunten5[[#This Row],[Knoop_ID]]),"")</f>
        <v/>
      </c>
      <c r="G48" t="str">
        <f>IF(FCPunten5[[#This Row],[Beta_h]]="","",_xlfn.NORM.S.DIST(-1*FCPunten5[[#This Row],[Beta_h]],TRUE))</f>
        <v/>
      </c>
      <c r="H48" s="13" t="str">
        <f>IF(FCPunten5[[#This Row],[Pf_h]]="", "",-_xlfn.NORM.S.INV(FCPunten5[[#This Row],[Pf_h]]))</f>
        <v/>
      </c>
    </row>
    <row r="49" spans="3:8" x14ac:dyDescent="0.25">
      <c r="C49" t="str">
        <f t="array" ref="C49">IF(SUM(FCPunten5[[#This Row],[Faalpad_ID]:[Knoop_ID]])&gt;=2,INDEX(FaalpadenGegevenScenario4[[Initiele_gebeurtenis]:[Vervolggebeurtenis_7]],FCPunten5[[#This Row],[Faalpad_ID]],FCPunten5[[#This Row],[Knoop_ID]]),"")</f>
        <v/>
      </c>
      <c r="G49" t="str">
        <f>IF(FCPunten5[[#This Row],[Beta_h]]="","",_xlfn.NORM.S.DIST(-1*FCPunten5[[#This Row],[Beta_h]],TRUE))</f>
        <v/>
      </c>
      <c r="H49" s="13" t="str">
        <f>IF(FCPunten5[[#This Row],[Pf_h]]="", "",-_xlfn.NORM.S.INV(FCPunten5[[#This Row],[Pf_h]]))</f>
        <v/>
      </c>
    </row>
    <row r="50" spans="3:8" x14ac:dyDescent="0.25">
      <c r="C50" t="str">
        <f t="array" ref="C50">IF(SUM(FCPunten5[[#This Row],[Faalpad_ID]:[Knoop_ID]])&gt;=2,INDEX(FaalpadenGegevenScenario4[[Initiele_gebeurtenis]:[Vervolggebeurtenis_7]],FCPunten5[[#This Row],[Faalpad_ID]],FCPunten5[[#This Row],[Knoop_ID]]),"")</f>
        <v/>
      </c>
      <c r="G50" t="str">
        <f>IF(FCPunten5[[#This Row],[Beta_h]]="","",_xlfn.NORM.S.DIST(-1*FCPunten5[[#This Row],[Beta_h]],TRUE))</f>
        <v/>
      </c>
      <c r="H50" s="13" t="str">
        <f>IF(FCPunten5[[#This Row],[Pf_h]]="", "",-_xlfn.NORM.S.INV(FCPunten5[[#This Row],[Pf_h]]))</f>
        <v/>
      </c>
    </row>
    <row r="51" spans="3:8" x14ac:dyDescent="0.25">
      <c r="C51" t="str">
        <f t="array" ref="C51">IF(SUM(FCPunten5[[#This Row],[Faalpad_ID]:[Knoop_ID]])&gt;=2,INDEX(FaalpadenGegevenScenario4[[Initiele_gebeurtenis]:[Vervolggebeurtenis_7]],FCPunten5[[#This Row],[Faalpad_ID]],FCPunten5[[#This Row],[Knoop_ID]]),"")</f>
        <v/>
      </c>
      <c r="G51" t="str">
        <f>IF(FCPunten5[[#This Row],[Beta_h]]="","",_xlfn.NORM.S.DIST(-1*FCPunten5[[#This Row],[Beta_h]],TRUE))</f>
        <v/>
      </c>
      <c r="H51" s="13" t="str">
        <f>IF(FCPunten5[[#This Row],[Pf_h]]="", "",-_xlfn.NORM.S.INV(FCPunten5[[#This Row],[Pf_h]]))</f>
        <v/>
      </c>
    </row>
    <row r="52" spans="3:8" x14ac:dyDescent="0.25">
      <c r="C52" t="str">
        <f t="array" ref="C52">IF(SUM(FCPunten5[[#This Row],[Faalpad_ID]:[Knoop_ID]])&gt;=2,INDEX(FaalpadenGegevenScenario4[[Initiele_gebeurtenis]:[Vervolggebeurtenis_7]],FCPunten5[[#This Row],[Faalpad_ID]],FCPunten5[[#This Row],[Knoop_ID]]),"")</f>
        <v/>
      </c>
      <c r="G52" t="str">
        <f>IF(FCPunten5[[#This Row],[Beta_h]]="","",_xlfn.NORM.S.DIST(-1*FCPunten5[[#This Row],[Beta_h]],TRUE))</f>
        <v/>
      </c>
      <c r="H52" s="13" t="str">
        <f>IF(FCPunten5[[#This Row],[Pf_h]]="", "",-_xlfn.NORM.S.INV(FCPunten5[[#This Row],[Pf_h]]))</f>
        <v/>
      </c>
    </row>
    <row r="53" spans="3:8" x14ac:dyDescent="0.25">
      <c r="C53" t="str">
        <f t="array" ref="C53">IF(SUM(FCPunten5[[#This Row],[Faalpad_ID]:[Knoop_ID]])&gt;=2,INDEX(FaalpadenGegevenScenario4[[Initiele_gebeurtenis]:[Vervolggebeurtenis_7]],FCPunten5[[#This Row],[Faalpad_ID]],FCPunten5[[#This Row],[Knoop_ID]]),"")</f>
        <v/>
      </c>
      <c r="G53" t="str">
        <f>IF(FCPunten5[[#This Row],[Beta_h]]="","",_xlfn.NORM.S.DIST(-1*FCPunten5[[#This Row],[Beta_h]],TRUE))</f>
        <v/>
      </c>
      <c r="H53" s="13" t="str">
        <f>IF(FCPunten5[[#This Row],[Pf_h]]="", "",-_xlfn.NORM.S.INV(FCPunten5[[#This Row],[Pf_h]]))</f>
        <v/>
      </c>
    </row>
    <row r="54" spans="3:8" x14ac:dyDescent="0.25">
      <c r="C54" t="str">
        <f t="array" ref="C54">IF(SUM(FCPunten5[[#This Row],[Faalpad_ID]:[Knoop_ID]])&gt;=2,INDEX(FaalpadenGegevenScenario4[[Initiele_gebeurtenis]:[Vervolggebeurtenis_7]],FCPunten5[[#This Row],[Faalpad_ID]],FCPunten5[[#This Row],[Knoop_ID]]),"")</f>
        <v/>
      </c>
      <c r="G54" t="str">
        <f>IF(FCPunten5[[#This Row],[Beta_h]]="","",_xlfn.NORM.S.DIST(-1*FCPunten5[[#This Row],[Beta_h]],TRUE))</f>
        <v/>
      </c>
      <c r="H54" s="13" t="str">
        <f>IF(FCPunten5[[#This Row],[Pf_h]]="", "",-_xlfn.NORM.S.INV(FCPunten5[[#This Row],[Pf_h]]))</f>
        <v/>
      </c>
    </row>
    <row r="55" spans="3:8" x14ac:dyDescent="0.25">
      <c r="C55" t="str">
        <f t="array" ref="C55">IF(SUM(FCPunten5[[#This Row],[Faalpad_ID]:[Knoop_ID]])&gt;=2,INDEX(FaalpadenGegevenScenario4[[Initiele_gebeurtenis]:[Vervolggebeurtenis_7]],FCPunten5[[#This Row],[Faalpad_ID]],FCPunten5[[#This Row],[Knoop_ID]]),"")</f>
        <v/>
      </c>
      <c r="G55" t="str">
        <f>IF(FCPunten5[[#This Row],[Beta_h]]="","",_xlfn.NORM.S.DIST(-1*FCPunten5[[#This Row],[Beta_h]],TRUE))</f>
        <v/>
      </c>
      <c r="H55" s="13" t="str">
        <f>IF(FCPunten5[[#This Row],[Pf_h]]="", "",-_xlfn.NORM.S.INV(FCPunten5[[#This Row],[Pf_h]]))</f>
        <v/>
      </c>
    </row>
    <row r="56" spans="3:8" x14ac:dyDescent="0.25">
      <c r="C56" t="str">
        <f t="array" ref="C56">IF(SUM(FCPunten5[[#This Row],[Faalpad_ID]:[Knoop_ID]])&gt;=2,INDEX(FaalpadenGegevenScenario4[[Initiele_gebeurtenis]:[Vervolggebeurtenis_7]],FCPunten5[[#This Row],[Faalpad_ID]],FCPunten5[[#This Row],[Knoop_ID]]),"")</f>
        <v/>
      </c>
      <c r="G56" t="str">
        <f>IF(FCPunten5[[#This Row],[Beta_h]]="","",_xlfn.NORM.S.DIST(-1*FCPunten5[[#This Row],[Beta_h]],TRUE))</f>
        <v/>
      </c>
      <c r="H56" s="13" t="str">
        <f>IF(FCPunten5[[#This Row],[Pf_h]]="", "",-_xlfn.NORM.S.INV(FCPunten5[[#This Row],[Pf_h]]))</f>
        <v/>
      </c>
    </row>
    <row r="57" spans="3:8" x14ac:dyDescent="0.25">
      <c r="C57" t="str">
        <f t="array" ref="C57">IF(SUM(FCPunten5[[#This Row],[Faalpad_ID]:[Knoop_ID]])&gt;=2,INDEX(FaalpadenGegevenScenario4[[Initiele_gebeurtenis]:[Vervolggebeurtenis_7]],FCPunten5[[#This Row],[Faalpad_ID]],FCPunten5[[#This Row],[Knoop_ID]]),"")</f>
        <v/>
      </c>
      <c r="G57" t="str">
        <f>IF(FCPunten5[[#This Row],[Beta_h]]="","",_xlfn.NORM.S.DIST(-1*FCPunten5[[#This Row],[Beta_h]],TRUE))</f>
        <v/>
      </c>
      <c r="H57" s="13" t="str">
        <f>IF(FCPunten5[[#This Row],[Pf_h]]="", "",-_xlfn.NORM.S.INV(FCPunten5[[#This Row],[Pf_h]]))</f>
        <v/>
      </c>
    </row>
    <row r="58" spans="3:8" x14ac:dyDescent="0.25">
      <c r="C58" t="str">
        <f t="array" ref="C58">IF(SUM(FCPunten5[[#This Row],[Faalpad_ID]:[Knoop_ID]])&gt;=2,INDEX(FaalpadenGegevenScenario4[[Initiele_gebeurtenis]:[Vervolggebeurtenis_7]],FCPunten5[[#This Row],[Faalpad_ID]],FCPunten5[[#This Row],[Knoop_ID]]),"")</f>
        <v/>
      </c>
      <c r="G58" t="str">
        <f>IF(FCPunten5[[#This Row],[Beta_h]]="","",_xlfn.NORM.S.DIST(-1*FCPunten5[[#This Row],[Beta_h]],TRUE))</f>
        <v/>
      </c>
      <c r="H58" s="13" t="str">
        <f>IF(FCPunten5[[#This Row],[Pf_h]]="", "",-_xlfn.NORM.S.INV(FCPunten5[[#This Row],[Pf_h]]))</f>
        <v/>
      </c>
    </row>
    <row r="59" spans="3:8" x14ac:dyDescent="0.25">
      <c r="C59" t="str">
        <f t="array" ref="C59">IF(SUM(FCPunten5[[#This Row],[Faalpad_ID]:[Knoop_ID]])&gt;=2,INDEX(FaalpadenGegevenScenario4[[Initiele_gebeurtenis]:[Vervolggebeurtenis_7]],FCPunten5[[#This Row],[Faalpad_ID]],FCPunten5[[#This Row],[Knoop_ID]]),"")</f>
        <v/>
      </c>
      <c r="G59" t="str">
        <f>IF(FCPunten5[[#This Row],[Beta_h]]="","",_xlfn.NORM.S.DIST(-1*FCPunten5[[#This Row],[Beta_h]],TRUE))</f>
        <v/>
      </c>
      <c r="H59" s="13" t="str">
        <f>IF(FCPunten5[[#This Row],[Pf_h]]="", "",-_xlfn.NORM.S.INV(FCPunten5[[#This Row],[Pf_h]]))</f>
        <v/>
      </c>
    </row>
    <row r="60" spans="3:8" x14ac:dyDescent="0.25">
      <c r="C60" t="str">
        <f t="array" ref="C60">IF(SUM(FCPunten5[[#This Row],[Faalpad_ID]:[Knoop_ID]])&gt;=2,INDEX(FaalpadenGegevenScenario4[[Initiele_gebeurtenis]:[Vervolggebeurtenis_7]],FCPunten5[[#This Row],[Faalpad_ID]],FCPunten5[[#This Row],[Knoop_ID]]),"")</f>
        <v/>
      </c>
      <c r="G60" t="str">
        <f>IF(FCPunten5[[#This Row],[Beta_h]]="","",_xlfn.NORM.S.DIST(-1*FCPunten5[[#This Row],[Beta_h]],TRUE))</f>
        <v/>
      </c>
      <c r="H60" s="13" t="str">
        <f>IF(FCPunten5[[#This Row],[Pf_h]]="", "",-_xlfn.NORM.S.INV(FCPunten5[[#This Row],[Pf_h]]))</f>
        <v/>
      </c>
    </row>
  </sheetData>
  <mergeCells count="3">
    <mergeCell ref="A4:B4"/>
    <mergeCell ref="A11:B11"/>
    <mergeCell ref="A24:B24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opLeftCell="A4" workbookViewId="0">
      <selection sqref="A1:B1"/>
    </sheetView>
  </sheetViews>
  <sheetFormatPr defaultRowHeight="15" x14ac:dyDescent="0.25"/>
  <sheetData>
    <row r="1" spans="1:2" x14ac:dyDescent="0.25">
      <c r="A1" s="19" t="s">
        <v>34</v>
      </c>
      <c r="B1" s="20" t="s">
        <v>35</v>
      </c>
    </row>
    <row r="2" spans="1:2" x14ac:dyDescent="0.25">
      <c r="A2" s="9">
        <v>0</v>
      </c>
      <c r="B2" s="10">
        <v>0</v>
      </c>
    </row>
    <row r="3" spans="1:2" x14ac:dyDescent="0.25">
      <c r="A3" s="9"/>
      <c r="B3" s="10"/>
    </row>
    <row r="4" spans="1:2" x14ac:dyDescent="0.25">
      <c r="A4" s="9"/>
      <c r="B4" s="10"/>
    </row>
    <row r="5" spans="1:2" x14ac:dyDescent="0.25">
      <c r="A5" s="9"/>
      <c r="B5" s="10"/>
    </row>
    <row r="6" spans="1:2" x14ac:dyDescent="0.25">
      <c r="A6" s="9"/>
      <c r="B6" s="10"/>
    </row>
    <row r="7" spans="1:2" x14ac:dyDescent="0.25">
      <c r="A7" s="11"/>
      <c r="B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A2" sqref="A2:B5"/>
    </sheetView>
  </sheetViews>
  <sheetFormatPr defaultRowHeight="15" x14ac:dyDescent="0.25"/>
  <sheetData>
    <row r="1" spans="1:2" x14ac:dyDescent="0.25">
      <c r="A1" s="19" t="s">
        <v>34</v>
      </c>
      <c r="B1" s="20" t="s">
        <v>35</v>
      </c>
    </row>
    <row r="2" spans="1:2" x14ac:dyDescent="0.25">
      <c r="A2" s="9"/>
      <c r="B2" s="14"/>
    </row>
    <row r="3" spans="1:2" x14ac:dyDescent="0.25">
      <c r="A3" s="9"/>
      <c r="B3" s="14"/>
    </row>
    <row r="4" spans="1:2" x14ac:dyDescent="0.25">
      <c r="A4" s="9"/>
      <c r="B4" s="10"/>
    </row>
    <row r="5" spans="1:2" x14ac:dyDescent="0.25">
      <c r="A5" s="9"/>
      <c r="B5" s="10"/>
    </row>
    <row r="6" spans="1:2" x14ac:dyDescent="0.25">
      <c r="A6" s="9"/>
      <c r="B6" s="10"/>
    </row>
    <row r="7" spans="1:2" x14ac:dyDescent="0.25">
      <c r="A7" s="11"/>
      <c r="B7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38e11dd-9b15-475b-8471-fcb79439c886">CBPJ-627581585-39893</_dlc_DocId>
    <e39ed97c196f40ca8994d73dd80b64d0 xmlns="338e11dd-9b15-475b-8471-fcb79439c886">
      <Terms xmlns="http://schemas.microsoft.com/office/infopath/2007/PartnerControls">
        <TermInfo xmlns="http://schemas.microsoft.com/office/infopath/2007/PartnerControls">
          <TermName xmlns="http://schemas.microsoft.com/office/infopath/2007/PartnerControls">Waterschap Rivierenland</TermName>
          <TermId xmlns="http://schemas.microsoft.com/office/infopath/2007/PartnerControls">d1732778-9e42-4ec7-9c76-7a14861f4695</TermId>
        </TermInfo>
      </Terms>
    </e39ed97c196f40ca8994d73dd80b64d0>
    <lcf76f155ced4ddcb4097134ff3c332f xmlns="edfbc03d-db26-4301-8719-99148ee26221">
      <Terms xmlns="http://schemas.microsoft.com/office/infopath/2007/PartnerControls"/>
    </lcf76f155ced4ddcb4097134ff3c332f>
    <TaxCatchAll xmlns="338e11dd-9b15-475b-8471-fcb79439c886">
      <Value>2</Value>
      <Value>1</Value>
    </TaxCatchAll>
    <n3c4235fe90e4626a88beeb52e343114 xmlns="338e11dd-9b15-475b-8471-fcb79439c886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Concept</TermName>
          <TermId xmlns="http://schemas.microsoft.com/office/infopath/2007/PartnerControls">c1e89abd-99d3-43d9-9ea5-d87afe83fe15</TermId>
        </TermInfo>
      </Terms>
    </n3c4235fe90e4626a88beeb52e343114>
    <_dlc_DocIdUrl xmlns="338e11dd-9b15-475b-8471-fcb79439c886">
      <Url>https://wsrlnl.sharepoint.com/sites/CBPR-ydjk6ItuUw/_layouts/15/DocIdRedir.aspx?ID=CBPJ-627581585-39893</Url>
      <Description>CBPJ-627581585-39893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 CB" ma:contentTypeID="0x010100A075C07AB76F2344B407AD577D6B92360100C7929242D85FED4E837C6D4097594A04" ma:contentTypeVersion="17" ma:contentTypeDescription="WSRL Document CB" ma:contentTypeScope="" ma:versionID="18c34f52c90103a5ca6273d5693675c9">
  <xsd:schema xmlns:xsd="http://www.w3.org/2001/XMLSchema" xmlns:xs="http://www.w3.org/2001/XMLSchema" xmlns:p="http://schemas.microsoft.com/office/2006/metadata/properties" xmlns:ns2="338e11dd-9b15-475b-8471-fcb79439c886" xmlns:ns3="edfbc03d-db26-4301-8719-99148ee26221" targetNamespace="http://schemas.microsoft.com/office/2006/metadata/properties" ma:root="true" ma:fieldsID="3b0dc2be265e99dcf2e366001e246f12" ns2:_="" ns3:_="">
    <xsd:import namespace="338e11dd-9b15-475b-8471-fcb79439c886"/>
    <xsd:import namespace="edfbc03d-db26-4301-8719-99148ee26221"/>
    <xsd:element name="properties">
      <xsd:complexType>
        <xsd:sequence>
          <xsd:element name="documentManagement">
            <xsd:complexType>
              <xsd:all>
                <xsd:element ref="ns2:_dlc_DocIdPersistId" minOccurs="0"/>
                <xsd:element ref="ns2:e39ed97c196f40ca8994d73dd80b64d0" minOccurs="0"/>
                <xsd:element ref="ns2:TaxCatchAll" minOccurs="0"/>
                <xsd:element ref="ns2:TaxCatchAllLabel" minOccurs="0"/>
                <xsd:element ref="ns2:_dlc_DocIdUrl" minOccurs="0"/>
                <xsd:element ref="ns2:n3c4235fe90e4626a88beeb52e343114" minOccurs="0"/>
                <xsd:element ref="ns2:_dlc_Doc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8e11dd-9b15-475b-8471-fcb79439c886" elementFormDefault="qualified">
    <xsd:import namespace="http://schemas.microsoft.com/office/2006/documentManagement/types"/>
    <xsd:import namespace="http://schemas.microsoft.com/office/infopath/2007/PartnerControls"/>
    <xsd:element name="_dlc_DocIdPersistId" ma:index="10" nillable="true" ma:displayName="Id blijven behouden" ma:description="Id behouden tijdens toevoegen." ma:hidden="true" ma:internalName="_dlc_DocIdPersistId" ma:readOnly="true">
      <xsd:simpleType>
        <xsd:restriction base="dms:Boolean"/>
      </xsd:simpleType>
    </xsd:element>
    <xsd:element name="e39ed97c196f40ca8994d73dd80b64d0" ma:index="11" nillable="true" ma:taxonomy="true" ma:internalName="e39ed97c196f40ca8994d73dd80b64d0" ma:taxonomyFieldName="WSRL_Archiefvormer" ma:displayName="Archiefvormer" ma:default="1;#Waterschap Rivierenland|d1732778-9e42-4ec7-9c76-7a14861f4695" ma:fieldId="{e39ed97c-196f-40ca-8994-d73dd80b64d0}" ma:sspId="7623c5cf-cd56-4530-80a3-8de693115232" ma:termSetId="e02d4262-1503-4a82-ab9f-043b56da15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1471d9a4-417d-4709-989b-88be8a7c05db}" ma:internalName="TaxCatchAll" ma:showField="CatchAllData" ma:web="338e11dd-9b15-475b-8471-fcb79439c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1471d9a4-417d-4709-989b-88be8a7c05db}" ma:internalName="TaxCatchAllLabel" ma:readOnly="true" ma:showField="CatchAllDataLabel" ma:web="338e11dd-9b15-475b-8471-fcb79439c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Url" ma:index="14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n3c4235fe90e4626a88beeb52e343114" ma:index="15" nillable="true" ma:taxonomy="true" ma:internalName="n3c4235fe90e4626a88beeb52e343114" ma:taxonomyFieldName="WSRL_Documentstatus" ma:displayName="Documentstatus" ma:indexed="true" ma:default="2;#Concept|c1e89abd-99d3-43d9-9ea5-d87afe83fe15" ma:fieldId="{73c4235f-e90e-4626-a88b-eeb52e343114}" ma:sspId="7623c5cf-cd56-4530-80a3-8de693115232" ma:termSetId="3b22e3a2-7885-4dbb-a525-aed238d555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16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SharedWithUsers" ma:index="2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bc03d-db26-4301-8719-99148ee262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7623c5cf-cd56-4530-80a3-8de6931152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3EBDFC-B21A-4048-98F2-0CE0F24CB488}">
  <ds:schemaRefs>
    <ds:schemaRef ds:uri="http://schemas.microsoft.com/office/2006/metadata/properties"/>
    <ds:schemaRef ds:uri="http://schemas.microsoft.com/office/infopath/2007/PartnerControls"/>
    <ds:schemaRef ds:uri="338e11dd-9b15-475b-8471-fcb79439c886"/>
    <ds:schemaRef ds:uri="edfbc03d-db26-4301-8719-99148ee26221"/>
  </ds:schemaRefs>
</ds:datastoreItem>
</file>

<file path=customXml/itemProps2.xml><?xml version="1.0" encoding="utf-8"?>
<ds:datastoreItem xmlns:ds="http://schemas.openxmlformats.org/officeDocument/2006/customXml" ds:itemID="{263B6D11-DEF0-4FE0-9C65-6A39ECB04A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B6BAA4-1CD2-494A-9433-1FC41C42B0F8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BC89D3C9-3D59-4FE5-907B-98550F7D51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8e11dd-9b15-475b-8471-fcb79439c886"/>
    <ds:schemaRef ds:uri="edfbc03d-db26-4301-8719-99148ee262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scenario1</vt:lpstr>
      <vt:lpstr>FP_overslag</vt:lpstr>
      <vt:lpstr>FP_graverij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Kapinga, Sander</cp:lastModifiedBy>
  <dcterms:created xsi:type="dcterms:W3CDTF">2025-11-27T16:28:33Z</dcterms:created>
  <dcterms:modified xsi:type="dcterms:W3CDTF">2026-03-11T08:12:41Z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0x010100A075C07AB76F2344B407AD577D6B92360100C7929242D85FED4E837C6D4097594A04</vt:lpwstr>
  </property>
  <property fmtid="{D5CDD505-2E9C-101B-9397-08002B2CF9AE}" pid="3" name="MediaServiceImageTags">
    <vt:lpwstr/>
  </property>
  <property fmtid="{D5CDD505-2E9C-101B-9397-08002B2CF9AE}" pid="4" name="WSRL_Archiefvormer">
    <vt:lpwstr>1;#Waterschap Rivierenland|d1732778-9e42-4ec7-9c76-7a14861f4695</vt:lpwstr>
  </property>
  <property fmtid="{D5CDD505-2E9C-101B-9397-08002B2CF9AE}" pid="5" name="WSRL_Documentstatus">
    <vt:lpwstr>2;#Concept|c1e89abd-99d3-43d9-9ea5-d87afe83fe15</vt:lpwstr>
  </property>
  <property fmtid="{D5CDD505-2E9C-101B-9397-08002B2CF9AE}" pid="6" name="_dlc_DocIdItemGuid">
    <vt:lpwstr>41e28828-ffaa-40ba-a05e-e939802288b8</vt:lpwstr>
  </property>
</Properties>
</file>