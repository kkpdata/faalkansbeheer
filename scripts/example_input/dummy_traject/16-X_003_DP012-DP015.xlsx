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28C7725E-6F47-4563-84A7-A71357E8DFA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0" i="4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<sst xmlns="http://schemas.openxmlformats.org/spreadsheetml/2006/main" count="55" uniqueCount="47">
  <si>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</si>
  <si>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</si>
  <si>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</si>
  <si>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</si>
  <si>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</si>
  <si>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</si>
  <si>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</si>
  <si>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</si>
  <si>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</si>
  <si>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</si>
  <si>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</si>
  <si>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</si>
  <si>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</si>
  <si>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</si>
  <si>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</si>
  <si>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</si>
  <si>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</si>
  <si>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</si>
  <si>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</si>
  <si>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</si>
  <si>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</si>
  <si>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</si>
  <si>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</si>
  <si>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</si>
  <si>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</si>
  <si>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</si>
  <si>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</si>
  <si>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</si>
  <si>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</si>
  <si>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</si>
  <si>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</si>
  <si>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</si>
  <si>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</si>
  <si>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</si>
  <si>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</si>
  <si>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</si>
  <si>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</si>
  <si>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</si>
  <si>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</si>
  <si>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</si>
  <si>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</si>
  <si>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</si>
  <si>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groene dijk</t>
  </si>
  <si>
    <t>016-01_0145_9_BO_km0954</t>
  </si>
  <si>
    <t>DP011.</t>
  </si>
  <si>
    <t>falen bij waterstand h &gt; 5</t>
  </si>
  <si>
    <t>DP012.-DP015.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</si>
</sst>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topLeftCell="A16" zoomScale="115" zoomScaleNormal="115" workbookViewId="0">
      <selection activeCell="H28" sqref="H28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1200</v>
      </c>
      <c r="C6" s="5">
        <v>1500</v>
      </c>
      <c r="D6" s="5">
        <v>3</v>
      </c>
      <c r="E6" s="5" t="s">
        <v>46</v>
      </c>
      <c r="F6" s="5">
        <f>C6-B6</f>
        <v>300</v>
      </c>
      <c r="G6" s="5" t="s">
        <v>42</v>
      </c>
      <c r="H6" s="5" t="s">
        <v>40</v>
      </c>
      <c r="I6" s="5">
        <v>1</v>
      </c>
      <c r="J6" s="6">
        <v>1</v>
      </c>
      <c r="K6" s="6">
        <v>1100</v>
      </c>
      <c r="L6" s="6" t="s">
        <v>44</v>
      </c>
      <c r="M6" s="6" t="s">
        <v>43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30" x14ac:dyDescent="0.25">
      <c r="A13" s="7">
        <v>1</v>
      </c>
      <c r="B13" t="s">
        <v>29</v>
      </c>
      <c r="C13" t="s">
        <v>29</v>
      </c>
      <c r="D13" s="8" t="s">
        <v>45</v>
      </c>
      <c r="E13" s="8"/>
      <c r="F13" s="8"/>
      <c r="G13" s="8"/>
      <c r="H13" s="8"/>
      <c r="I13" s="8"/>
      <c r="J13" s="8"/>
      <c r="K13" s="8"/>
    </row>
    <row r="14" spans="1:14" x14ac:dyDescent="0.25">
      <c r="A14" s="7">
        <v>2</v>
      </c>
      <c r="D14" s="8"/>
      <c r="E14" s="8"/>
      <c r="F14" s="8"/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6">
        <v>0</v>
      </c>
      <c r="E26" s="25"/>
      <c r="F26">
        <v>20</v>
      </c>
      <c r="G26">
        <f>IF(FCPunten5[[#This Row],[Beta_h]]="","",_xlfn.NORM.S.DIST(-1*FCPunten5[[#This Row],[Beta_h]],TRUE))</f>
        <v>2.753624118606156E-89</v>
      </c>
      <c r="H26" s="13" t="str">
        <f>IF(FCPunten5[[#This Row],[Pf_h]]="", "",-_xlfn.NORM.S.INV(FCPunten5[[#This Row],[Pf_h]]))</f>
        <v/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7">
        <v>5</v>
      </c>
      <c r="E27" s="25"/>
      <c r="F27">
        <v>20</v>
      </c>
      <c r="G27">
        <f>IF(FCPunten5[[#This Row],[Beta_h]]="","",_xlfn.NORM.S.DIST(-1*FCPunten5[[#This Row],[Beta_h]],TRUE))</f>
        <v>2.753624118606156E-89</v>
      </c>
      <c r="H27" s="13" t="str">
        <f>IF(FCPunten5[[#This Row],[Pf_h]]="", "",-_xlfn.NORM.S.INV(FCPunten5[[#This Row],[Pf_h]]))</f>
        <v/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8">
        <v>5.01</v>
      </c>
      <c r="E28" s="25">
        <v>1</v>
      </c>
      <c r="G28" t="str">
        <f>IF(FCPunten5[[#This Row],[Beta_h]]="","",_xlfn.NORM.S.DIST(-1*FCPunten5[[#This Row],[Beta_h]],TRUE))</f>
        <v/>
      </c>
      <c r="H28" s="13" t="e">
        <f>IF(FCPunten5[[#This Row],[Pf_h]]="", "",-_xlfn.NORM.S.INV(FCPunten5[[#This Row],[Pf_h]]))</f>
        <v>#NUM!</v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falen bij waterstand h &gt; 5</v>
      </c>
      <c r="D29">
        <v>10</v>
      </c>
      <c r="E29" s="25">
        <v>1</v>
      </c>
      <c r="G29" t="str">
        <f>IF(FCPunten5[[#This Row],[Beta_h]]="","",_xlfn.NORM.S.DIST(-1*FCPunten5[[#This Row],[Beta_h]],TRUE))</f>
        <v/>
      </c>
      <c r="H29" s="13" t="e">
        <f>IF(FCPunten5[[#This Row],[Pf_h]]="", "",-_xlfn.NORM.S.INV(FCPunten5[[#This Row],[Pf_h]]))</f>
        <v>#NUM!</v>
      </c>
    </row>
    <row r="30" spans="1:11" x14ac:dyDescent="0.25"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/>
      </c>
      <c r="E30" s="25"/>
      <c r="G30" t="str">
        <f>IF(FCPunten5[[#This Row],[Beta_h]]="","",_xlfn.NORM.S.DIST(-1*FCPunten5[[#This Row],[Beta_h]],TRUE))</f>
        <v/>
      </c>
      <c r="H30" s="13" t="str">
        <f>IF(FCPunten5[[#This Row],[Pf_h]]="", "",-_xlfn.NORM.S.INV(FCPunten5[[#This Row],[Pf_h]]))</f>
        <v/>
      </c>
    </row>
    <row r="31" spans="1:11" x14ac:dyDescent="0.25"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/>
      </c>
      <c r="G31" t="str">
        <f>IF(FCPunten5[[#This Row],[Beta_h]]="","",_xlfn.NORM.S.DIST(-1*FCPunten5[[#This Row],[Beta_h]],TRUE))</f>
        <v/>
      </c>
      <c r="H31" s="13" t="str">
        <f>IF(FCPunten5[[#This Row],[Pf_h]]="", "",-_xlfn.NORM.S.INV(FCPunten5[[#This Row],[Pf_h]]))</f>
        <v/>
      </c>
    </row>
    <row r="32" spans="1:11" x14ac:dyDescent="0.25"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/>
      </c>
      <c r="G32" t="str">
        <f>IF(FCPunten5[[#This Row],[Beta_h]]="","",_xlfn.NORM.S.DIST(-1*FCPunten5[[#This Row],[Beta_h]],TRUE))</f>
        <v/>
      </c>
      <c r="H32" s="13" t="str">
        <f>IF(FCPunten5[[#This Row],[Pf_h]]="", "",-_xlfn.NORM.S.INV(FCPunten5[[#This Row],[Pf_h]]))</f>
        <v/>
      </c>
    </row>
    <row r="33" spans="3:8" x14ac:dyDescent="0.25"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/>
      </c>
      <c r="E33" s="25"/>
      <c r="G33" t="str">
        <f>IF(FCPunten5[[#This Row],[Beta_h]]="","",_xlfn.NORM.S.DIST(-1*FCPunten5[[#This Row],[Beta_h]],TRUE))</f>
        <v/>
      </c>
      <c r="H33" s="13" t="str">
        <f>IF(FCPunten5[[#This Row],[Pf_h]]="", "",-_xlfn.NORM.S.INV(FCPunten5[[#This Row],[Pf_h]]))</f>
        <v/>
      </c>
    </row>
    <row r="34" spans="3:8" x14ac:dyDescent="0.25"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/>
      </c>
      <c r="G34" t="str">
        <f>IF(FCPunten5[[#This Row],[Beta_h]]="","",_xlfn.NORM.S.DIST(-1*FCPunten5[[#This Row],[Beta_h]],TRUE))</f>
        <v/>
      </c>
      <c r="H34" s="13" t="str">
        <f>IF(FCPunten5[[#This Row],[Pf_h]]="", "",-_xlfn.NORM.S.INV(FCPunten5[[#This Row],[Pf_h]]))</f>
        <v/>
      </c>
    </row>
    <row r="35" spans="3:8" x14ac:dyDescent="0.25"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/>
      </c>
      <c r="G35" t="str">
        <f>IF(FCPunten5[[#This Row],[Beta_h]]="","",_xlfn.NORM.S.DIST(-1*FCPunten5[[#This Row],[Beta_h]],TRUE))</f>
        <v/>
      </c>
      <c r="H35" s="13" t="str">
        <f>IF(FCPunten5[[#This Row],[Pf_h]]="", "",-_xlfn.NORM.S.INV(FCPunten5[[#This Row],[Pf_h]]))</f>
        <v/>
      </c>
    </row>
    <row r="36" spans="3:8" x14ac:dyDescent="0.25"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/>
      </c>
      <c r="G36" t="str">
        <f>IF(FCPunten5[[#This Row],[Beta_h]]="","",_xlfn.NORM.S.DIST(-1*FCPunten5[[#This Row],[Beta_h]],TRUE))</f>
        <v/>
      </c>
      <c r="H36" s="13" t="str">
        <f>IF(FCPunten5[[#This Row],[Pf_h]]="", "",-_xlfn.NORM.S.INV(FCPunten5[[#This Row],[Pf_h]]))</f>
        <v/>
      </c>
    </row>
    <row r="37" spans="3:8" x14ac:dyDescent="0.25"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/>
      </c>
      <c r="G37" t="str">
        <f>IF(FCPunten5[[#This Row],[Beta_h]]="","",_xlfn.NORM.S.DIST(-1*FCPunten5[[#This Row],[Beta_h]],TRUE))</f>
        <v/>
      </c>
      <c r="H37" s="13" t="str">
        <f>IF(FCPunten5[[#This Row],[Pf_h]]="", "",-_xlfn.NORM.S.INV(FCPunten5[[#This Row],[Pf_h]]))</f>
        <v/>
      </c>
    </row>
    <row r="38" spans="3:8" x14ac:dyDescent="0.25"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/>
      </c>
      <c r="G38" t="str">
        <f>IF(FCPunten5[[#This Row],[Beta_h]]="","",_xlfn.NORM.S.DIST(-1*FCPunten5[[#This Row],[Beta_h]],TRUE))</f>
        <v/>
      </c>
      <c r="H38" s="13" t="str">
        <f>IF(FCPunten5[[#This Row],[Pf_h]]="", "",-_xlfn.NORM.S.INV(FCPunten5[[#This Row],[Pf_h]]))</f>
        <v/>
      </c>
    </row>
    <row r="39" spans="3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E39" s="25"/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3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E40" s="25"/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3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E41" s="25"/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3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E42" s="25"/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3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E43" s="25"/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3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3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3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3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3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topLeftCell="A4"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A2" sqref="A2:B5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4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2026-03-10T14:50:38Z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