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EF0D77DA-015B-4866-8F23-AA640007168E}" xr6:coauthVersionLast="47" xr6:coauthVersionMax="47" xr10:uidLastSave="{00000000-0000-0000-0000-000000000000}"/>
  <bookViews>
    <workbookView xWindow="-37560" yWindow="8655" windowWidth="27105" windowHeight="11295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<sst xmlns="http://schemas.openxmlformats.org/spreadsheetml/2006/main" count="65" uniqueCount="52">
  <si>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</si>
  <si>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</si>
  <si>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</si>
  <si>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</si>
  <si>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</si>
  <si>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</si>
  <si>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</si>
  <si>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</si>
  <si>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</si>
  <si>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</si>
  <si>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</si>
  <si>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</si>
  <si>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</si>
  <si>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</si>
  <si>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</si>
  <si>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</si>
  <si>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</si>
  <si>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</si>
  <si>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</si>
  <si>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</si>
  <si>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</si>
  <si>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</si>
  <si>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</si>
  <si>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</si>
  <si>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</si>
  <si>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</si>
  <si>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</si>
  <si>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</si>
  <si>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</si>
  <si>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</si>
  <si>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</si>
  <si>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</si>
  <si>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</si>
  <si>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</si>
  <si>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</si>
  <si>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</si>
  <si>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</si>
  <si>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</si>
  <si>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</si>
  <si>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</si>
  <si>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</si>
  <si>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</si>
  <si>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groene dijk</t>
  </si>
  <si>
    <t>Overstroming</t>
  </si>
  <si>
    <t>Vervolgmechanismen</t>
  </si>
  <si>
    <t>DP003.-DP008.</t>
  </si>
  <si>
    <t>DP005.+050m</t>
  </si>
  <si>
    <t>016-01_0145_9_BO_km0954</t>
  </si>
  <si>
    <t>Glijvlak zonder reststerkte | graverij</t>
  </si>
  <si>
    <t>Glijvak zonder reststerkte | geen graverij</t>
  </si>
  <si>
    <t>Glijvlak met reststerkte | geen graverij</t>
  </si>
  <si>
    <t>graverij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</si>
</sst>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topLeftCell="A11" zoomScale="115" zoomScaleNormal="115" workbookViewId="0">
      <selection activeCell="C13" sqref="C13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300</v>
      </c>
      <c r="C6" s="5">
        <v>800</v>
      </c>
      <c r="D6" s="5">
        <v>1</v>
      </c>
      <c r="E6" s="5" t="s">
        <v>45</v>
      </c>
      <c r="F6" s="5">
        <v>500</v>
      </c>
      <c r="G6" s="5" t="s">
        <v>42</v>
      </c>
      <c r="H6" s="5" t="s">
        <v>40</v>
      </c>
      <c r="I6" s="5">
        <v>1</v>
      </c>
      <c r="J6" s="6">
        <v>1</v>
      </c>
      <c r="K6" s="6">
        <v>550</v>
      </c>
      <c r="L6" s="6" t="s">
        <v>46</v>
      </c>
      <c r="M6" s="6" t="s">
        <v>47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45" x14ac:dyDescent="0.25">
      <c r="A13" s="7">
        <v>1</v>
      </c>
      <c r="B13" t="s">
        <v>29</v>
      </c>
      <c r="C13" t="s">
        <v>29</v>
      </c>
      <c r="D13" s="8" t="s">
        <v>49</v>
      </c>
      <c r="E13" s="8" t="s">
        <v>43</v>
      </c>
      <c r="F13" s="8"/>
      <c r="G13" s="8"/>
      <c r="H13" s="8"/>
      <c r="I13" s="8"/>
      <c r="J13" s="8"/>
      <c r="K13" s="8"/>
    </row>
    <row r="14" spans="1:14" ht="45" x14ac:dyDescent="0.25">
      <c r="A14" s="7">
        <v>2</v>
      </c>
      <c r="B14" t="s">
        <v>29</v>
      </c>
      <c r="C14" t="s">
        <v>29</v>
      </c>
      <c r="D14" s="8" t="s">
        <v>50</v>
      </c>
      <c r="E14" s="8" t="s">
        <v>44</v>
      </c>
      <c r="F14" s="8" t="s">
        <v>43</v>
      </c>
      <c r="G14" s="8"/>
      <c r="H14" s="8"/>
      <c r="I14" s="8"/>
      <c r="J14" s="8"/>
      <c r="K14" s="8"/>
    </row>
    <row r="15" spans="1:14" ht="45" x14ac:dyDescent="0.25">
      <c r="A15" s="7">
        <v>3</v>
      </c>
      <c r="B15" t="s">
        <v>29</v>
      </c>
      <c r="C15" t="s">
        <v>51</v>
      </c>
      <c r="D15" s="8" t="s">
        <v>48</v>
      </c>
      <c r="E15" s="8" t="s">
        <v>43</v>
      </c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6">
        <v>3.7</v>
      </c>
      <c r="E26" s="25">
        <v>5E-15</v>
      </c>
      <c r="G26" t="str">
        <f>IF(FCPunten5[[#This Row],[Beta_h]]="","",_xlfn.NORM.S.DIST(-1*FCPunten5[[#This Row],[Beta_h]],TRUE))</f>
        <v/>
      </c>
      <c r="H26" s="13">
        <f>IF(FCPunten5[[#This Row],[Pf_h]]="", "",-_xlfn.NORM.S.INV(FCPunten5[[#This Row],[Pf_h]]))</f>
        <v>7.7392563195043733</v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7">
        <v>4.4276</v>
      </c>
      <c r="E27" s="25">
        <v>2E-8</v>
      </c>
      <c r="G27" t="str">
        <f>IF(FCPunten5[[#This Row],[Beta_h]]="","",_xlfn.NORM.S.DIST(-1*FCPunten5[[#This Row],[Beta_h]],TRUE))</f>
        <v/>
      </c>
      <c r="H27" s="13">
        <f>IF(FCPunten5[[#This Row],[Pf_h]]="", "",-_xlfn.NORM.S.INV(FCPunten5[[#This Row],[Pf_h]]))</f>
        <v>5.4908517521043487</v>
      </c>
    </row>
    <row r="28" spans="1:11" x14ac:dyDescent="0.25">
      <c r="A28">
        <v>1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8">
        <v>5.1651000000000007</v>
      </c>
      <c r="E28" s="25">
        <v>4.0000000000000002E-4</v>
      </c>
      <c r="G28" t="str">
        <f>IF(FCPunten5[[#This Row],[Beta_h]]="","",_xlfn.NORM.S.DIST(-1*FCPunten5[[#This Row],[Beta_h]],TRUE))</f>
        <v/>
      </c>
      <c r="H28" s="13">
        <f>IF(FCPunten5[[#This Row],[Pf_h]]="", "",-_xlfn.NORM.S.INV(FCPunten5[[#This Row],[Pf_h]]))</f>
        <v>3.3527947805048282</v>
      </c>
    </row>
    <row r="29" spans="1:11" x14ac:dyDescent="0.25">
      <c r="A29">
        <v>1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9">
        <v>5.9026000000000014</v>
      </c>
      <c r="E29" s="25">
        <v>8.0000000000000004E-4</v>
      </c>
      <c r="G29" t="str">
        <f>IF(FCPunten5[[#This Row],[Beta_h]]="","",_xlfn.NORM.S.DIST(-1*FCPunten5[[#This Row],[Beta_h]],TRUE))</f>
        <v/>
      </c>
      <c r="H29" s="13">
        <f>IF(FCPunten5[[#This Row],[Pf_h]]="", "",-_xlfn.NORM.S.INV(FCPunten5[[#This Row],[Pf_h]]))</f>
        <v>3.1559067579218172</v>
      </c>
    </row>
    <row r="30" spans="1:11" x14ac:dyDescent="0.25">
      <c r="A30">
        <v>1</v>
      </c>
      <c r="B30">
        <v>1</v>
      </c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30">
        <v>6.65</v>
      </c>
      <c r="E30" s="25">
        <v>5.0000000000000001E-3</v>
      </c>
      <c r="G30" t="str">
        <f>IF(FCPunten5[[#This Row],[Beta_h]]="","",_xlfn.NORM.S.DIST(-1*FCPunten5[[#This Row],[Beta_h]],TRUE))</f>
        <v/>
      </c>
      <c r="H30" s="13">
        <f>IF(FCPunten5[[#This Row],[Pf_h]]="", "",-_xlfn.NORM.S.INV(FCPunten5[[#This Row],[Pf_h]]))</f>
        <v>2.5758293035488999</v>
      </c>
    </row>
    <row r="31" spans="1:11" x14ac:dyDescent="0.25">
      <c r="A31">
        <v>1</v>
      </c>
      <c r="B31">
        <v>2</v>
      </c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>Overstroming</v>
      </c>
      <c r="D31">
        <v>3</v>
      </c>
      <c r="E31">
        <v>0.5</v>
      </c>
      <c r="G31" t="str">
        <f>IF(FCPunten5[[#This Row],[Beta_h]]="","",_xlfn.NORM.S.DIST(-1*FCPunten5[[#This Row],[Beta_h]],TRUE))</f>
        <v/>
      </c>
      <c r="H31" s="13">
        <f>IF(FCPunten5[[#This Row],[Pf_h]]="", "",-_xlfn.NORM.S.INV(FCPunten5[[#This Row],[Pf_h]]))</f>
        <v>0</v>
      </c>
    </row>
    <row r="32" spans="1:11" x14ac:dyDescent="0.25">
      <c r="A32">
        <v>1</v>
      </c>
      <c r="B32">
        <v>2</v>
      </c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>Overstroming</v>
      </c>
      <c r="D32">
        <v>7</v>
      </c>
      <c r="E32">
        <v>0.99990000000000001</v>
      </c>
      <c r="G32" t="str">
        <f>IF(FCPunten5[[#This Row],[Beta_h]]="","",_xlfn.NORM.S.DIST(-1*FCPunten5[[#This Row],[Beta_h]],TRUE))</f>
        <v/>
      </c>
      <c r="H32" s="13">
        <f>IF(FCPunten5[[#This Row],[Pf_h]]="", "",-_xlfn.NORM.S.INV(FCPunten5[[#This Row],[Pf_h]]))</f>
        <v>-3.7190164854557084</v>
      </c>
    </row>
    <row r="33" spans="1:8" x14ac:dyDescent="0.25">
      <c r="A33">
        <v>2</v>
      </c>
      <c r="B33">
        <v>1</v>
      </c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>Glijvlak met reststerkte | geen graverij</v>
      </c>
      <c r="D33">
        <v>4.4000000000000004</v>
      </c>
      <c r="E33" s="25">
        <v>9.9999999999999995E-7</v>
      </c>
      <c r="G33" t="str">
        <f>IF(FCPunten5[[#This Row],[Beta_h]]="","",_xlfn.NORM.S.DIST(-1*FCPunten5[[#This Row],[Beta_h]],TRUE))</f>
        <v/>
      </c>
      <c r="H33" s="13">
        <f>IF(FCPunten5[[#This Row],[Pf_h]]="", "",-_xlfn.NORM.S.INV(FCPunten5[[#This Row],[Pf_h]]))</f>
        <v>4.7534243088228987</v>
      </c>
    </row>
    <row r="34" spans="1:8" x14ac:dyDescent="0.25">
      <c r="A34">
        <v>2</v>
      </c>
      <c r="B34">
        <v>1</v>
      </c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>Glijvlak met reststerkte | geen graverij</v>
      </c>
      <c r="D34">
        <v>6.65</v>
      </c>
      <c r="E34">
        <v>0.45</v>
      </c>
      <c r="G34" t="str">
        <f>IF(FCPunten5[[#This Row],[Beta_h]]="","",_xlfn.NORM.S.DIST(-1*FCPunten5[[#This Row],[Beta_h]],TRUE))</f>
        <v/>
      </c>
      <c r="H34" s="13">
        <f>IF(FCPunten5[[#This Row],[Pf_h]]="", "",-_xlfn.NORM.S.INV(FCPunten5[[#This Row],[Pf_h]]))</f>
        <v>0.12566134685507402</v>
      </c>
    </row>
    <row r="35" spans="1:8" x14ac:dyDescent="0.25">
      <c r="A35">
        <v>2</v>
      </c>
      <c r="B35">
        <v>2</v>
      </c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5">
        <v>4.4000000000000004</v>
      </c>
      <c r="E35">
        <v>1E-3</v>
      </c>
      <c r="G35" t="str">
        <f>IF(FCPunten5[[#This Row],[Beta_h]]="","",_xlfn.NORM.S.DIST(-1*FCPunten5[[#This Row],[Beta_h]],TRUE))</f>
        <v/>
      </c>
      <c r="H35" s="13">
        <f>IF(FCPunten5[[#This Row],[Pf_h]]="", "",-_xlfn.NORM.S.INV(FCPunten5[[#This Row],[Pf_h]]))</f>
        <v>3.0902323061678132</v>
      </c>
    </row>
    <row r="36" spans="1:8" x14ac:dyDescent="0.25">
      <c r="A36">
        <v>2</v>
      </c>
      <c r="B36">
        <v>2</v>
      </c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6">
        <v>6.65</v>
      </c>
      <c r="E36">
        <v>0.999</v>
      </c>
      <c r="G36" t="str">
        <f>IF(FCPunten5[[#This Row],[Beta_h]]="","",_xlfn.NORM.S.DIST(-1*FCPunten5[[#This Row],[Beta_h]],TRUE))</f>
        <v/>
      </c>
      <c r="H36" s="13">
        <f>IF(FCPunten5[[#This Row],[Pf_h]]="", "",-_xlfn.NORM.S.INV(FCPunten5[[#This Row],[Pf_h]]))</f>
        <v>-3.0902323061678132</v>
      </c>
    </row>
    <row r="37" spans="1:8" x14ac:dyDescent="0.25">
      <c r="A37">
        <v>2</v>
      </c>
      <c r="B37">
        <v>3</v>
      </c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>Overstroming</v>
      </c>
      <c r="D37">
        <v>4.4000000000000004</v>
      </c>
      <c r="E37">
        <v>1E-4</v>
      </c>
      <c r="G37" t="str">
        <f>IF(FCPunten5[[#This Row],[Beta_h]]="","",_xlfn.NORM.S.DIST(-1*FCPunten5[[#This Row],[Beta_h]],TRUE))</f>
        <v/>
      </c>
      <c r="H37" s="13">
        <f>IF(FCPunten5[[#This Row],[Pf_h]]="", "",-_xlfn.NORM.S.INV(FCPunten5[[#This Row],[Pf_h]]))</f>
        <v>3.71901648545568</v>
      </c>
    </row>
    <row r="38" spans="1:8" x14ac:dyDescent="0.25">
      <c r="A38">
        <v>2</v>
      </c>
      <c r="B38">
        <v>3</v>
      </c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>Overstroming</v>
      </c>
      <c r="D38">
        <v>6.65</v>
      </c>
      <c r="E38">
        <v>0.999</v>
      </c>
      <c r="G38" t="str">
        <f>IF(FCPunten5[[#This Row],[Beta_h]]="","",_xlfn.NORM.S.DIST(-1*FCPunten5[[#This Row],[Beta_h]],TRUE))</f>
        <v/>
      </c>
      <c r="H38" s="13">
        <f>IF(FCPunten5[[#This Row],[Pf_h]]="", "",-_xlfn.NORM.S.INV(FCPunten5[[#This Row],[Pf_h]]))</f>
        <v>-3.0902323061678132</v>
      </c>
    </row>
    <row r="39" spans="1:8" x14ac:dyDescent="0.25">
      <c r="A39">
        <v>3</v>
      </c>
      <c r="B39">
        <v>1</v>
      </c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39">
        <v>3.7</v>
      </c>
      <c r="E39" s="25">
        <v>4.9999999999999997E-12</v>
      </c>
      <c r="G39" t="str">
        <f>IF(FCPunten5[[#This Row],[Beta_h]]="","",_xlfn.NORM.S.DIST(-1*FCPunten5[[#This Row],[Beta_h]],TRUE))</f>
        <v/>
      </c>
      <c r="H39" s="13">
        <f>IF(FCPunten5[[#This Row],[Pf_h]]="", "",-_xlfn.NORM.S.INV(FCPunten5[[#This Row],[Pf_h]]))</f>
        <v>6.806502490740626</v>
      </c>
    </row>
    <row r="40" spans="1:8" x14ac:dyDescent="0.25">
      <c r="A40">
        <v>3</v>
      </c>
      <c r="B40">
        <v>1</v>
      </c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0">
        <v>4.4276</v>
      </c>
      <c r="E40" s="25">
        <v>1.9999999999999999E-6</v>
      </c>
      <c r="G40" t="str">
        <f>IF(FCPunten5[[#This Row],[Beta_h]]="","",_xlfn.NORM.S.DIST(-1*FCPunten5[[#This Row],[Beta_h]],TRUE))</f>
        <v/>
      </c>
      <c r="H40" s="13">
        <f>IF(FCPunten5[[#This Row],[Pf_h]]="", "",-_xlfn.NORM.S.INV(FCPunten5[[#This Row],[Pf_h]]))</f>
        <v>4.6113823623026677</v>
      </c>
    </row>
    <row r="41" spans="1:8" x14ac:dyDescent="0.25">
      <c r="A41">
        <v>3</v>
      </c>
      <c r="B41">
        <v>1</v>
      </c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1">
        <v>5.1651000000000007</v>
      </c>
      <c r="E41" s="25">
        <v>4.0000000000000001E-3</v>
      </c>
      <c r="G41" t="str">
        <f>IF(FCPunten5[[#This Row],[Beta_h]]="","",_xlfn.NORM.S.DIST(-1*FCPunten5[[#This Row],[Beta_h]],TRUE))</f>
        <v/>
      </c>
      <c r="H41" s="13">
        <f>IF(FCPunten5[[#This Row],[Pf_h]]="", "",-_xlfn.NORM.S.INV(FCPunten5[[#This Row],[Pf_h]]))</f>
        <v>2.6520698079021954</v>
      </c>
    </row>
    <row r="42" spans="1:8" x14ac:dyDescent="0.25">
      <c r="A42">
        <v>3</v>
      </c>
      <c r="B42">
        <v>1</v>
      </c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2">
        <v>5.9026000000000014</v>
      </c>
      <c r="E42" s="25">
        <v>8.0000000000000002E-3</v>
      </c>
      <c r="G42" t="str">
        <f>IF(FCPunten5[[#This Row],[Beta_h]]="","",_xlfn.NORM.S.DIST(-1*FCPunten5[[#This Row],[Beta_h]],TRUE))</f>
        <v/>
      </c>
      <c r="H42" s="13">
        <f>IF(FCPunten5[[#This Row],[Pf_h]]="", "",-_xlfn.NORM.S.INV(FCPunten5[[#This Row],[Pf_h]]))</f>
        <v>2.4089155458154612</v>
      </c>
    </row>
    <row r="43" spans="1:8" x14ac:dyDescent="0.25">
      <c r="A43">
        <v>3</v>
      </c>
      <c r="B43">
        <v>1</v>
      </c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3">
        <v>6.65</v>
      </c>
      <c r="E43" s="25">
        <v>0.05</v>
      </c>
      <c r="G43" t="str">
        <f>IF(FCPunten5[[#This Row],[Beta_h]]="","",_xlfn.NORM.S.DIST(-1*FCPunten5[[#This Row],[Beta_h]],TRUE))</f>
        <v/>
      </c>
      <c r="H43" s="13">
        <f>IF(FCPunten5[[#This Row],[Pf_h]]="", "",-_xlfn.NORM.S.INV(FCPunten5[[#This Row],[Pf_h]]))</f>
        <v>1.6448536269514726</v>
      </c>
    </row>
    <row r="44" spans="1:8" x14ac:dyDescent="0.25">
      <c r="A44">
        <v>3</v>
      </c>
      <c r="B44">
        <v>2</v>
      </c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>Overstroming</v>
      </c>
      <c r="D44">
        <v>3</v>
      </c>
      <c r="E44">
        <v>0.5</v>
      </c>
      <c r="G44" t="str">
        <f>IF(FCPunten5[[#This Row],[Beta_h]]="","",_xlfn.NORM.S.DIST(-1*FCPunten5[[#This Row],[Beta_h]],TRUE))</f>
        <v/>
      </c>
      <c r="H44" s="13">
        <f>IF(FCPunten5[[#This Row],[Pf_h]]="", "",-_xlfn.NORM.S.INV(FCPunten5[[#This Row],[Pf_h]]))</f>
        <v>0</v>
      </c>
    </row>
    <row r="45" spans="1:8" x14ac:dyDescent="0.25">
      <c r="A45">
        <v>3</v>
      </c>
      <c r="B45">
        <v>2</v>
      </c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>Overstroming</v>
      </c>
      <c r="D45">
        <v>7</v>
      </c>
      <c r="E45">
        <v>0.99990000000000001</v>
      </c>
      <c r="G45" t="str">
        <f>IF(FCPunten5[[#This Row],[Beta_h]]="","",_xlfn.NORM.S.DIST(-1*FCPunten5[[#This Row],[Beta_h]],TRUE))</f>
        <v/>
      </c>
      <c r="H45" s="13">
        <f>IF(FCPunten5[[#This Row],[Pf_h]]="", "",-_xlfn.NORM.S.INV(FCPunten5[[#This Row],[Pf_h]]))</f>
        <v>-3.7190164854557084</v>
      </c>
    </row>
    <row r="46" spans="1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1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1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4</v>
      </c>
      <c r="B2" s="14">
        <v>0.1</v>
      </c>
    </row>
    <row r="3" spans="1:2" x14ac:dyDescent="0.25">
      <c r="A3" s="9">
        <v>6</v>
      </c>
      <c r="B3" s="14">
        <v>0.5</v>
      </c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Props1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2026-02-27T14:01:28Z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