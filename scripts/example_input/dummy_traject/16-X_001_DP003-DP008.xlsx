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upuits\Documents\_HKV\faalpaden\scripts\example_input\dummy_traject\"/>
    </mc:Choice>
  </mc:AlternateContent>
  <xr:revisionPtr revIDLastSave="0" documentId="13_ncr:1_{79E581EC-619C-43E8-9350-094712235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1" sheetId="4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4" l="1"/>
  <c r="G60" i="4"/>
  <c r="C60" i="4" a="1"/>
  <c r="C60" i="4" s="1"/>
  <c r="H59" i="4"/>
  <c r="G59" i="4"/>
  <c r="C59" i="4" a="1"/>
  <c r="C59" i="4" s="1"/>
  <c r="H58" i="4"/>
  <c r="G58" i="4"/>
  <c r="C58" i="4" a="1"/>
  <c r="C58" i="4" s="1"/>
  <c r="H57" i="4"/>
  <c r="G57" i="4"/>
  <c r="C57" i="4" a="1"/>
  <c r="C57" i="4" s="1"/>
  <c r="H56" i="4"/>
  <c r="G56" i="4"/>
  <c r="C56" i="4" a="1"/>
  <c r="C56" i="4" s="1"/>
  <c r="H55" i="4"/>
  <c r="G55" i="4"/>
  <c r="C55" i="4" a="1"/>
  <c r="C55" i="4" s="1"/>
  <c r="H54" i="4"/>
  <c r="G54" i="4"/>
  <c r="C54" i="4" a="1"/>
  <c r="C54" i="4" s="1"/>
  <c r="H53" i="4"/>
  <c r="G53" i="4"/>
  <c r="C53" i="4" a="1"/>
  <c r="C53" i="4" s="1"/>
  <c r="H52" i="4"/>
  <c r="G52" i="4"/>
  <c r="C52" i="4" a="1"/>
  <c r="C52" i="4" s="1"/>
  <c r="H51" i="4"/>
  <c r="G51" i="4"/>
  <c r="C51" i="4" a="1"/>
  <c r="C51" i="4" s="1"/>
  <c r="H50" i="4"/>
  <c r="G50" i="4"/>
  <c r="C50" i="4" a="1"/>
  <c r="C50" i="4" s="1"/>
  <c r="H49" i="4"/>
  <c r="G49" i="4"/>
  <c r="C49" i="4" a="1"/>
  <c r="C49" i="4" s="1"/>
  <c r="H48" i="4"/>
  <c r="G48" i="4"/>
  <c r="C48" i="4" a="1"/>
  <c r="C48" i="4" s="1"/>
  <c r="H47" i="4"/>
  <c r="G47" i="4"/>
  <c r="C47" i="4" a="1"/>
  <c r="C47" i="4" s="1"/>
  <c r="H46" i="4"/>
  <c r="G46" i="4"/>
  <c r="C46" i="4" a="1"/>
  <c r="C46" i="4" s="1"/>
  <c r="H45" i="4"/>
  <c r="G45" i="4"/>
  <c r="C45" i="4" a="1"/>
  <c r="C45" i="4" s="1"/>
  <c r="H44" i="4"/>
  <c r="G44" i="4"/>
  <c r="C44" i="4" a="1"/>
  <c r="C44" i="4" s="1"/>
  <c r="H43" i="4"/>
  <c r="G43" i="4"/>
  <c r="C43" i="4" a="1"/>
  <c r="C43" i="4" s="1"/>
  <c r="H42" i="4"/>
  <c r="G42" i="4"/>
  <c r="C42" i="4" a="1"/>
  <c r="C42" i="4" s="1"/>
  <c r="H41" i="4"/>
  <c r="G41" i="4"/>
  <c r="C41" i="4" a="1"/>
  <c r="C41" i="4" s="1"/>
  <c r="H40" i="4"/>
  <c r="G40" i="4"/>
  <c r="C40" i="4" a="1"/>
  <c r="C40" i="4" s="1"/>
  <c r="H39" i="4"/>
  <c r="G39" i="4"/>
  <c r="C39" i="4" a="1"/>
  <c r="C39" i="4" s="1"/>
  <c r="H38" i="4"/>
  <c r="G38" i="4"/>
  <c r="C38" i="4" a="1"/>
  <c r="C38" i="4" s="1"/>
  <c r="H37" i="4"/>
  <c r="G37" i="4"/>
  <c r="C37" i="4" a="1"/>
  <c r="C37" i="4" s="1"/>
  <c r="H36" i="4"/>
  <c r="G36" i="4"/>
  <c r="C36" i="4" a="1"/>
  <c r="C36" i="4" s="1"/>
  <c r="H35" i="4"/>
  <c r="G35" i="4"/>
  <c r="C35" i="4" a="1"/>
  <c r="C35" i="4" s="1"/>
  <c r="H34" i="4"/>
  <c r="G34" i="4"/>
  <c r="C34" i="4" a="1"/>
  <c r="C34" i="4" s="1"/>
  <c r="H33" i="4"/>
  <c r="G33" i="4"/>
  <c r="C33" i="4" a="1"/>
  <c r="C33" i="4" s="1"/>
  <c r="H32" i="4"/>
  <c r="G32" i="4"/>
  <c r="C32" i="4" a="1"/>
  <c r="C32" i="4" s="1"/>
  <c r="H31" i="4"/>
  <c r="G31" i="4"/>
  <c r="C31" i="4" a="1"/>
  <c r="C31" i="4" s="1"/>
  <c r="H30" i="4"/>
  <c r="G30" i="4"/>
  <c r="C30" i="4" a="1"/>
  <c r="C30" i="4" s="1"/>
  <c r="H29" i="4"/>
  <c r="G29" i="4"/>
  <c r="C29" i="4" a="1"/>
  <c r="C29" i="4" s="1"/>
  <c r="H28" i="4"/>
  <c r="G28" i="4"/>
  <c r="C28" i="4" a="1"/>
  <c r="C28" i="4" s="1"/>
  <c r="H27" i="4"/>
  <c r="G27" i="4"/>
  <c r="C27" i="4" a="1"/>
  <c r="C27" i="4" s="1"/>
  <c r="H26" i="4"/>
  <c r="G26" i="4"/>
  <c r="C26" i="4" a="1"/>
  <c r="C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<sst xmlns="http://schemas.openxmlformats.org/spreadsheetml/2006/main" count="61" uniqueCount="51">
  <si>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</si>
  <si>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</si>
  <si>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</si>
  <si>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</si>
  <si>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</si>
  <si>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</si>
  <si>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</si>
  <si>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</si>
  <si>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</si>
  <si>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</si>
  <si>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</si>
  <si>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</si>
  <si>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</si>
  <si>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</si>
  <si>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</si>
  <si>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</si>
  <si>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</si>
  <si>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</si>
  <si>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</si>
  <si>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</si>
  <si>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</si>
  <si>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</si>
  <si>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</si>
  <si>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</si>
  <si>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</si>
  <si>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</si>
  <si>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</si>
  <si>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</si>
  <si>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</si>
  <si>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</si>
  <si>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 xml:space="preserve">geen 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</si>
  <si>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</si>
  <si>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</si>
  <si>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</si>
  <si>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</si>
  <si>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</si>
  <si>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</si>
  <si>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</si>
  <si>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</si>
  <si>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</si>
  <si>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</si>
  <si>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</si>
  <si>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</si>
  <si>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groene dijk</t>
  </si>
  <si>
    <t xml:space="preserve">Glijvak zonder reststerkte </t>
  </si>
  <si>
    <t>Glijvlak met reststerkte</t>
  </si>
  <si>
    <t>Overstroming</t>
  </si>
  <si>
    <t>Vervolgmechanismen</t>
  </si>
  <si>
    <t>DP003.-DP008.</t>
  </si>
  <si>
    <t>DP005.+050m</t>
  </si>
  <si>
    <t>016-01_0145_9_BO_km0954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</si>
</sst>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Heading 1" xfId="1" builtinId="16"/>
    <cellStyle name="Input" xfId="2" builtinId="20"/>
    <cellStyle name="Normal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4028-DB53-44E2-B434-8A655FF5E4AE}" name="FaalpadenGegevenScenario4" displayName="FaalpadenGegevenScenario4" ref="A12:K20" totalsRowShown="0" headerRowDxfId="13" dataDxfId="11" headerRowBorderDxfId="12">
  <autoFilter ref="A12:K20" xr:uid="{00000000-0009-0000-0100-000001000000}"/>
  <tableColumns count="11">
    <tableColumn id="1" xr3:uid="{CFB27A32-C766-4F04-8347-31CE82F3FC70}" name="Faalpad_ID" dataDxfId="10"/>
    <tableColumn id="2" xr3:uid="{AF7C436A-650C-4BC1-9EF3-C2E695729CF6}" name="Overslag"/>
    <tableColumn id="3" xr3:uid="{2AEE65D0-E41D-4B0D-B81D-3EA679D089DB}" name="Indirect_mechanisme"/>
    <tableColumn id="4" xr3:uid="{BABBEEE5-DC7E-4499-BFBB-D2A5008C8CFE}" name="Initiele_gebeurtenis" dataDxfId="9"/>
    <tableColumn id="5" xr3:uid="{613F1EF1-4C5A-4614-8911-9B3E903F9AA0}" name="Vervolggebeurtenis_1" dataDxfId="8"/>
    <tableColumn id="6" xr3:uid="{27711DDB-C89F-4177-858B-4BF2531E597B}" name="Vervolggebeurtenis_2" dataDxfId="7"/>
    <tableColumn id="7" xr3:uid="{0743336A-E737-4FE0-A4D7-6645E6F1B7F3}" name="Vervolggebeurtenis_3" dataDxfId="6"/>
    <tableColumn id="8" xr3:uid="{1D4C5381-45EE-41CD-A798-5FEA13FBAE11}" name="Vervolggebeurtenis_4" dataDxfId="5"/>
    <tableColumn id="9" xr3:uid="{FBB485B4-B8E7-4DB3-9E75-E642559A87FB}" name="Vervolggebeurtenis_5" dataDxfId="4"/>
    <tableColumn id="10" xr3:uid="{1280E35C-1A64-489A-8DEC-E1A0861BA397}" name="Vervolggebeurtenis_6" dataDxfId="3"/>
    <tableColumn id="11" xr3:uid="{E5F30254-3E5B-406B-9F45-C5DCFDC944CE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8AE64-B2DB-424E-9EA8-B554FF5ACD41}" name="FCPunten5" displayName="FCPunten5" ref="A25:I60" totalsRowShown="0" headerRowDxfId="1" headerRowBorderDxfId="0">
  <autoFilter ref="A25:I60" xr:uid="{00000000-0009-0000-0100-000002000000}"/>
  <tableColumns count="9">
    <tableColumn id="1" xr3:uid="{56245336-6600-4052-9B02-BDF48447FD62}" name="Faalpad_ID"/>
    <tableColumn id="2" xr3:uid="{ECC4AC92-16F3-4C7F-9DEA-4842274B1E0E}" name="Knoop_ID"/>
    <tableColumn id="3" xr3:uid="{5C0C9441-E2B0-4750-B896-25AF047D130F}" name="Gebeurtenis_naam">
      <calculatedColumnFormula array="1">IF(SUM(FCPunten5[[#This Row],[Faalpad_ID]:[Knoop_ID]])&gt;=2,INDEX(FaalpadenGegevenScenario4[[Initiele_gebeurtenis]:[Vervolggebeurtenis_7]],FCPunten5[[#This Row],[Faalpad_ID]],FCPunten5[[#This Row],[Knoop_ID]]),"")</calculatedColumnFormula>
    </tableColumn>
    <tableColumn id="4" xr3:uid="{E8E3567F-73A6-4FD1-8C1C-1538F70DCB45}" name="h"/>
    <tableColumn id="5" xr3:uid="{39805F4E-CDAA-4EC8-A8E9-F87E3D6E7FE3}" name="Pf_h"/>
    <tableColumn id="6" xr3:uid="{EA210056-5575-4036-A0B6-CEBDB48D934D}" name="Beta_h"/>
    <tableColumn id="7" xr3:uid="{11077DE1-97C4-4A9B-892E-C6F0858E63E4}" name="Pf uit Beta">
      <calculatedColumnFormula>IF(FCPunten5[[#This Row],[Beta_h]]="","",_xlfn.NORM.S.DIST(-1*FCPunten5[[#This Row],[Beta_h]],TRUE))</calculatedColumnFormula>
    </tableColumn>
    <tableColumn id="8" xr3:uid="{D7DF1F35-353C-42F1-B3CF-F8068A8344F7}" name="Beta uit Pf">
      <calculatedColumnFormula>IF(FCPunten5[[#This Row],[Pf_h]]="", "",-_xlfn.NORM.S.INV(FCPunten5[[#This Row],[Pf_h]]))</calculatedColumnFormula>
    </tableColumn>
    <tableColumn id="9" xr3:uid="{788E66BE-86C4-4E31-9618-0437FD9FE5CE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23B1-4256-4914-AE70-97F43BCEFB63}">
  <dimension ref="A1:N60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27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41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42</v>
      </c>
      <c r="B6" s="5">
        <v>300</v>
      </c>
      <c r="C6" s="5">
        <v>800</v>
      </c>
      <c r="D6" s="5">
        <v>1</v>
      </c>
      <c r="E6" s="5" t="s">
        <v>48</v>
      </c>
      <c r="F6" s="5">
        <v>500</v>
      </c>
      <c r="G6" s="5" t="s">
        <v>43</v>
      </c>
      <c r="H6" s="5" t="s">
        <v>41</v>
      </c>
      <c r="I6" s="5">
        <v>1</v>
      </c>
      <c r="J6" s="6">
        <v>1</v>
      </c>
      <c r="K6" s="6">
        <v>550</v>
      </c>
      <c r="L6" s="6" t="s">
        <v>49</v>
      </c>
      <c r="M6" s="6" t="s">
        <v>50</v>
      </c>
      <c r="N6" s="24">
        <v>7</v>
      </c>
    </row>
    <row r="11" spans="1:14" x14ac:dyDescent="0.25">
      <c r="A11" s="28" t="s">
        <v>16</v>
      </c>
      <c r="B11" s="29"/>
      <c r="C11" t="s">
        <v>17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18</v>
      </c>
      <c r="B12" s="16" t="s">
        <v>19</v>
      </c>
      <c r="C12" s="16" t="s">
        <v>20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8" t="s">
        <v>28</v>
      </c>
    </row>
    <row r="13" spans="1:14" ht="30" x14ac:dyDescent="0.25">
      <c r="A13" s="7">
        <v>1</v>
      </c>
      <c r="B13" t="s">
        <v>29</v>
      </c>
      <c r="C13" t="s">
        <v>30</v>
      </c>
      <c r="D13" s="8" t="s">
        <v>44</v>
      </c>
      <c r="E13" s="8" t="s">
        <v>46</v>
      </c>
      <c r="F13" s="8"/>
      <c r="G13" s="8"/>
      <c r="H13" s="8"/>
      <c r="I13" s="8"/>
      <c r="J13" s="8"/>
      <c r="K13" s="8"/>
    </row>
    <row r="14" spans="1:14" ht="30" x14ac:dyDescent="0.25">
      <c r="A14" s="7">
        <v>2</v>
      </c>
      <c r="B14" t="s">
        <v>29</v>
      </c>
      <c r="C14" t="s">
        <v>30</v>
      </c>
      <c r="D14" s="8" t="s">
        <v>45</v>
      </c>
      <c r="E14" s="8" t="s">
        <v>47</v>
      </c>
      <c r="F14" s="8" t="s">
        <v>46</v>
      </c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31</v>
      </c>
      <c r="B24" s="29"/>
      <c r="E24" t="s">
        <v>32</v>
      </c>
      <c r="G24" t="s">
        <v>33</v>
      </c>
    </row>
    <row r="25" spans="1:11" x14ac:dyDescent="0.25">
      <c r="A25" s="15" t="s">
        <v>18</v>
      </c>
      <c r="B25" s="16" t="s">
        <v>17</v>
      </c>
      <c r="C25" s="16" t="s">
        <v>34</v>
      </c>
      <c r="D25" s="16" t="s">
        <v>35</v>
      </c>
      <c r="E25" s="16" t="s">
        <v>36</v>
      </c>
      <c r="F25" s="16" t="s">
        <v>37</v>
      </c>
      <c r="G25" s="16" t="s">
        <v>38</v>
      </c>
      <c r="H25" s="21" t="s">
        <v>39</v>
      </c>
      <c r="I25" s="22" t="s">
        <v>40</v>
      </c>
    </row>
    <row r="26" spans="1:11" x14ac:dyDescent="0.25">
      <c r="A26">
        <v>1</v>
      </c>
      <c r="B26">
        <v>1</v>
      </c>
      <c r="C26" t="str" cm="1">
        <f t="array" ref="C26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6">
        <v>3.7</v>
      </c>
      <c r="E26" s="25">
        <v>5E-15</v>
      </c>
      <c r="G26" t="str">
        <f>IF(FCPunten5[[#This Row],[Beta_h]]="","",_xlfn.NORM.S.DIST(-1*FCPunten5[[#This Row],[Beta_h]],TRUE))</f>
        <v/>
      </c>
      <c r="H26" s="13">
        <f>IF(FCPunten5[[#This Row],[Pf_h]]="", "",-_xlfn.NORM.S.INV(FCPunten5[[#This Row],[Pf_h]]))</f>
        <v>7.7392563195043733</v>
      </c>
    </row>
    <row r="27" spans="1:11" x14ac:dyDescent="0.25">
      <c r="A27">
        <v>1</v>
      </c>
      <c r="B27">
        <v>1</v>
      </c>
      <c r="C27" t="str">
        <f t="array" ref="C27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7">
        <v>4.4276</v>
      </c>
      <c r="E27" s="25">
        <v>2E-8</v>
      </c>
      <c r="G27" t="str">
        <f>IF(FCPunten5[[#This Row],[Beta_h]]="","",_xlfn.NORM.S.DIST(-1*FCPunten5[[#This Row],[Beta_h]],TRUE))</f>
        <v/>
      </c>
      <c r="H27" s="13">
        <f>IF(FCPunten5[[#This Row],[Pf_h]]="", "",-_xlfn.NORM.S.INV(FCPunten5[[#This Row],[Pf_h]]))</f>
        <v>5.4908517521043487</v>
      </c>
    </row>
    <row r="28" spans="1:11" x14ac:dyDescent="0.25">
      <c r="A28">
        <v>1</v>
      </c>
      <c r="B28">
        <v>1</v>
      </c>
      <c r="C28" t="str">
        <f t="array" ref="C28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8">
        <v>5.1651000000000007</v>
      </c>
      <c r="E28" s="25">
        <v>4.0000000000000002E-4</v>
      </c>
      <c r="G28" t="str">
        <f>IF(FCPunten5[[#This Row],[Beta_h]]="","",_xlfn.NORM.S.DIST(-1*FCPunten5[[#This Row],[Beta_h]],TRUE))</f>
        <v/>
      </c>
      <c r="H28" s="13">
        <f>IF(FCPunten5[[#This Row],[Pf_h]]="", "",-_xlfn.NORM.S.INV(FCPunten5[[#This Row],[Pf_h]]))</f>
        <v>3.3527947805048282</v>
      </c>
    </row>
    <row r="29" spans="1:11" x14ac:dyDescent="0.25">
      <c r="A29">
        <v>1</v>
      </c>
      <c r="B29">
        <v>1</v>
      </c>
      <c r="C29" t="str">
        <f t="array" ref="C29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9">
        <v>5.9026000000000014</v>
      </c>
      <c r="E29" s="25">
        <v>8.0000000000000004E-4</v>
      </c>
      <c r="G29" t="str">
        <f>IF(FCPunten5[[#This Row],[Beta_h]]="","",_xlfn.NORM.S.DIST(-1*FCPunten5[[#This Row],[Beta_h]],TRUE))</f>
        <v/>
      </c>
      <c r="H29" s="13">
        <f>IF(FCPunten5[[#This Row],[Pf_h]]="", "",-_xlfn.NORM.S.INV(FCPunten5[[#This Row],[Pf_h]]))</f>
        <v>3.1559067579218172</v>
      </c>
    </row>
    <row r="30" spans="1:11" x14ac:dyDescent="0.25">
      <c r="A30">
        <v>1</v>
      </c>
      <c r="B30">
        <v>1</v>
      </c>
      <c r="C30" t="str">
        <f t="array" ref="C30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30">
        <v>6.65</v>
      </c>
      <c r="E30" s="25">
        <v>5.0000000000000001E-3</v>
      </c>
      <c r="G30" t="str">
        <f>IF(FCPunten5[[#This Row],[Beta_h]]="","",_xlfn.NORM.S.DIST(-1*FCPunten5[[#This Row],[Beta_h]],TRUE))</f>
        <v/>
      </c>
      <c r="H30" s="13">
        <f>IF(FCPunten5[[#This Row],[Pf_h]]="", "",-_xlfn.NORM.S.INV(FCPunten5[[#This Row],[Pf_h]]))</f>
        <v>2.5758293035488999</v>
      </c>
    </row>
    <row r="31" spans="1:11" x14ac:dyDescent="0.25">
      <c r="A31">
        <v>1</v>
      </c>
      <c r="B31">
        <v>2</v>
      </c>
      <c r="C31" t="str">
        <f t="array" ref="C31">IF(SUM(FCPunten5[[#This Row],[Faalpad_ID]:[Knoop_ID]])&gt;=2,INDEX(FaalpadenGegevenScenario4[[Initiele_gebeurtenis]:[Vervolggebeurtenis_7]],FCPunten5[[#This Row],[Faalpad_ID]],FCPunten5[[#This Row],[Knoop_ID]]),"")</f>
        <v>Overstroming</v>
      </c>
      <c r="D31">
        <v>3</v>
      </c>
      <c r="E31">
        <v>0.99990000000000001</v>
      </c>
      <c r="G31" t="str">
        <f>IF(FCPunten5[[#This Row],[Beta_h]]="","",_xlfn.NORM.S.DIST(-1*FCPunten5[[#This Row],[Beta_h]],TRUE))</f>
        <v/>
      </c>
      <c r="H31" s="13">
        <f>IF(FCPunten5[[#This Row],[Pf_h]]="", "",-_xlfn.NORM.S.INV(FCPunten5[[#This Row],[Pf_h]]))</f>
        <v>-3.7190164854557084</v>
      </c>
    </row>
    <row r="32" spans="1:11" x14ac:dyDescent="0.25">
      <c r="A32">
        <v>1</v>
      </c>
      <c r="B32">
        <v>2</v>
      </c>
      <c r="C32" t="str">
        <f t="array" ref="C32">IF(SUM(FCPunten5[[#This Row],[Faalpad_ID]:[Knoop_ID]])&gt;=2,INDEX(FaalpadenGegevenScenario4[[Initiele_gebeurtenis]:[Vervolggebeurtenis_7]],FCPunten5[[#This Row],[Faalpad_ID]],FCPunten5[[#This Row],[Knoop_ID]]),"")</f>
        <v>Overstroming</v>
      </c>
      <c r="D32">
        <v>7</v>
      </c>
      <c r="E32">
        <v>0.99990000000000001</v>
      </c>
      <c r="G32" t="str">
        <f>IF(FCPunten5[[#This Row],[Beta_h]]="","",_xlfn.NORM.S.DIST(-1*FCPunten5[[#This Row],[Beta_h]],TRUE))</f>
        <v/>
      </c>
      <c r="H32" s="13">
        <f>IF(FCPunten5[[#This Row],[Pf_h]]="", "",-_xlfn.NORM.S.INV(FCPunten5[[#This Row],[Pf_h]]))</f>
        <v>-3.7190164854557084</v>
      </c>
    </row>
    <row r="33" spans="1:8" x14ac:dyDescent="0.25">
      <c r="A33">
        <v>2</v>
      </c>
      <c r="B33">
        <v>1</v>
      </c>
      <c r="C33" t="str">
        <f t="array" ref="C33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3">
        <v>4.4000000000000004</v>
      </c>
      <c r="E33" s="25">
        <v>9.9999999999999995E-7</v>
      </c>
      <c r="G33" t="str">
        <f>IF(FCPunten5[[#This Row],[Beta_h]]="","",_xlfn.NORM.S.DIST(-1*FCPunten5[[#This Row],[Beta_h]],TRUE))</f>
        <v/>
      </c>
      <c r="H33" s="13">
        <f>IF(FCPunten5[[#This Row],[Pf_h]]="", "",-_xlfn.NORM.S.INV(FCPunten5[[#This Row],[Pf_h]]))</f>
        <v>4.7534243088228987</v>
      </c>
    </row>
    <row r="34" spans="1:8" x14ac:dyDescent="0.25">
      <c r="A34">
        <v>2</v>
      </c>
      <c r="B34">
        <v>1</v>
      </c>
      <c r="C34" t="str">
        <f t="array" ref="C34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4">
        <v>6.65</v>
      </c>
      <c r="E34">
        <v>0.45</v>
      </c>
      <c r="G34" t="str">
        <f>IF(FCPunten5[[#This Row],[Beta_h]]="","",_xlfn.NORM.S.DIST(-1*FCPunten5[[#This Row],[Beta_h]],TRUE))</f>
        <v/>
      </c>
      <c r="H34" s="13">
        <f>IF(FCPunten5[[#This Row],[Pf_h]]="", "",-_xlfn.NORM.S.INV(FCPunten5[[#This Row],[Pf_h]]))</f>
        <v>0.12566134685507402</v>
      </c>
    </row>
    <row r="35" spans="1:8" x14ac:dyDescent="0.25">
      <c r="A35">
        <v>2</v>
      </c>
      <c r="B35">
        <v>2</v>
      </c>
      <c r="C35" t="str">
        <f t="array" ref="C35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5">
        <v>4.4000000000000004</v>
      </c>
      <c r="E35">
        <v>1E-3</v>
      </c>
      <c r="G35" t="str">
        <f>IF(FCPunten5[[#This Row],[Beta_h]]="","",_xlfn.NORM.S.DIST(-1*FCPunten5[[#This Row],[Beta_h]],TRUE))</f>
        <v/>
      </c>
      <c r="H35" s="13">
        <f>IF(FCPunten5[[#This Row],[Pf_h]]="", "",-_xlfn.NORM.S.INV(FCPunten5[[#This Row],[Pf_h]]))</f>
        <v>3.0902323061678132</v>
      </c>
    </row>
    <row r="36" spans="1:8" x14ac:dyDescent="0.25">
      <c r="A36">
        <v>2</v>
      </c>
      <c r="B36">
        <v>2</v>
      </c>
      <c r="C36" t="str">
        <f t="array" ref="C36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6">
        <v>6.65</v>
      </c>
      <c r="E36">
        <v>0.999</v>
      </c>
      <c r="G36" t="str">
        <f>IF(FCPunten5[[#This Row],[Beta_h]]="","",_xlfn.NORM.S.DIST(-1*FCPunten5[[#This Row],[Beta_h]],TRUE))</f>
        <v/>
      </c>
      <c r="H36" s="13">
        <f>IF(FCPunten5[[#This Row],[Pf_h]]="", "",-_xlfn.NORM.S.INV(FCPunten5[[#This Row],[Pf_h]]))</f>
        <v>-3.0902323061678132</v>
      </c>
    </row>
    <row r="37" spans="1:8" x14ac:dyDescent="0.25">
      <c r="A37">
        <v>2</v>
      </c>
      <c r="B37">
        <v>3</v>
      </c>
      <c r="C37" t="str">
        <f t="array" ref="C37">IF(SUM(FCPunten5[[#This Row],[Faalpad_ID]:[Knoop_ID]])&gt;=2,INDEX(FaalpadenGegevenScenario4[[Initiele_gebeurtenis]:[Vervolggebeurtenis_7]],FCPunten5[[#This Row],[Faalpad_ID]],FCPunten5[[#This Row],[Knoop_ID]]),"")</f>
        <v>Overstroming</v>
      </c>
      <c r="D37">
        <v>4.4000000000000004</v>
      </c>
      <c r="E37">
        <v>0.999</v>
      </c>
      <c r="G37" t="str">
        <f>IF(FCPunten5[[#This Row],[Beta_h]]="","",_xlfn.NORM.S.DIST(-1*FCPunten5[[#This Row],[Beta_h]],TRUE))</f>
        <v/>
      </c>
      <c r="H37" s="13">
        <f>IF(FCPunten5[[#This Row],[Pf_h]]="", "",-_xlfn.NORM.S.INV(FCPunten5[[#This Row],[Pf_h]]))</f>
        <v>-3.0902323061678132</v>
      </c>
    </row>
    <row r="38" spans="1:8" x14ac:dyDescent="0.25">
      <c r="A38">
        <v>2</v>
      </c>
      <c r="B38">
        <v>3</v>
      </c>
      <c r="C38" t="str">
        <f t="array" ref="C38">IF(SUM(FCPunten5[[#This Row],[Faalpad_ID]:[Knoop_ID]])&gt;=2,INDEX(FaalpadenGegevenScenario4[[Initiele_gebeurtenis]:[Vervolggebeurtenis_7]],FCPunten5[[#This Row],[Faalpad_ID]],FCPunten5[[#This Row],[Knoop_ID]]),"")</f>
        <v>Overstroming</v>
      </c>
      <c r="D38">
        <v>6.65</v>
      </c>
      <c r="E38">
        <v>0.999</v>
      </c>
      <c r="G38" t="str">
        <f>IF(FCPunten5[[#This Row],[Beta_h]]="","",_xlfn.NORM.S.DIST(-1*FCPunten5[[#This Row],[Beta_h]],TRUE))</f>
        <v/>
      </c>
      <c r="H38" s="13">
        <f>IF(FCPunten5[[#This Row],[Pf_h]]="", "",-_xlfn.NORM.S.INV(FCPunten5[[#This Row],[Pf_h]]))</f>
        <v>-3.0902323061678132</v>
      </c>
    </row>
    <row r="39" spans="1:8" x14ac:dyDescent="0.25">
      <c r="C39" t="str">
        <f t="array" ref="C39">IF(SUM(FCPunten5[[#This Row],[Faalpad_ID]:[Knoop_ID]])&gt;=2,INDEX(FaalpadenGegevenScenario4[[Initiele_gebeurtenis]:[Vervolggebeurtenis_7]],FCPunten5[[#This Row],[Faalpad_ID]],FCPunten5[[#This Row],[Knoop_ID]]),"")</f>
        <v/>
      </c>
      <c r="G39" t="str">
        <f>IF(FCPunten5[[#This Row],[Beta_h]]="","",_xlfn.NORM.S.DIST(-1*FCPunten5[[#This Row],[Beta_h]],TRUE))</f>
        <v/>
      </c>
      <c r="H39" s="13" t="str">
        <f>IF(FCPunten5[[#This Row],[Pf_h]]="", "",-_xlfn.NORM.S.INV(FCPunten5[[#This Row],[Pf_h]]))</f>
        <v/>
      </c>
    </row>
    <row r="40" spans="1:8" x14ac:dyDescent="0.25">
      <c r="C40" t="str">
        <f t="array" ref="C40">IF(SUM(FCPunten5[[#This Row],[Faalpad_ID]:[Knoop_ID]])&gt;=2,INDEX(FaalpadenGegevenScenario4[[Initiele_gebeurtenis]:[Vervolggebeurtenis_7]],FCPunten5[[#This Row],[Faalpad_ID]],FCPunten5[[#This Row],[Knoop_ID]]),"")</f>
        <v/>
      </c>
      <c r="G40" t="str">
        <f>IF(FCPunten5[[#This Row],[Beta_h]]="","",_xlfn.NORM.S.DIST(-1*FCPunten5[[#This Row],[Beta_h]],TRUE))</f>
        <v/>
      </c>
      <c r="H40" s="13" t="str">
        <f>IF(FCPunten5[[#This Row],[Pf_h]]="", "",-_xlfn.NORM.S.INV(FCPunten5[[#This Row],[Pf_h]]))</f>
        <v/>
      </c>
    </row>
    <row r="41" spans="1:8" x14ac:dyDescent="0.25">
      <c r="C41" t="str">
        <f t="array" ref="C41">IF(SUM(FCPunten5[[#This Row],[Faalpad_ID]:[Knoop_ID]])&gt;=2,INDEX(FaalpadenGegevenScenario4[[Initiele_gebeurtenis]:[Vervolggebeurtenis_7]],FCPunten5[[#This Row],[Faalpad_ID]],FCPunten5[[#This Row],[Knoop_ID]]),"")</f>
        <v/>
      </c>
      <c r="G41" t="str">
        <f>IF(FCPunten5[[#This Row],[Beta_h]]="","",_xlfn.NORM.S.DIST(-1*FCPunten5[[#This Row],[Beta_h]],TRUE))</f>
        <v/>
      </c>
      <c r="H41" s="13" t="str">
        <f>IF(FCPunten5[[#This Row],[Pf_h]]="", "",-_xlfn.NORM.S.INV(FCPunten5[[#This Row],[Pf_h]]))</f>
        <v/>
      </c>
    </row>
    <row r="42" spans="1:8" x14ac:dyDescent="0.25">
      <c r="C42" t="str">
        <f t="array" ref="C42">IF(SUM(FCPunten5[[#This Row],[Faalpad_ID]:[Knoop_ID]])&gt;=2,INDEX(FaalpadenGegevenScenario4[[Initiele_gebeurtenis]:[Vervolggebeurtenis_7]],FCPunten5[[#This Row],[Faalpad_ID]],FCPunten5[[#This Row],[Knoop_ID]]),"")</f>
        <v/>
      </c>
      <c r="G42" t="str">
        <f>IF(FCPunten5[[#This Row],[Beta_h]]="","",_xlfn.NORM.S.DIST(-1*FCPunten5[[#This Row],[Beta_h]],TRUE))</f>
        <v/>
      </c>
      <c r="H42" s="13" t="str">
        <f>IF(FCPunten5[[#This Row],[Pf_h]]="", "",-_xlfn.NORM.S.INV(FCPunten5[[#This Row],[Pf_h]]))</f>
        <v/>
      </c>
    </row>
    <row r="43" spans="1:8" x14ac:dyDescent="0.25">
      <c r="C43" t="str">
        <f t="array" ref="C43">IF(SUM(FCPunten5[[#This Row],[Faalpad_ID]:[Knoop_ID]])&gt;=2,INDEX(FaalpadenGegevenScenario4[[Initiele_gebeurtenis]:[Vervolggebeurtenis_7]],FCPunten5[[#This Row],[Faalpad_ID]],FCPunten5[[#This Row],[Knoop_ID]]),"")</f>
        <v/>
      </c>
      <c r="G43" t="str">
        <f>IF(FCPunten5[[#This Row],[Beta_h]]="","",_xlfn.NORM.S.DIST(-1*FCPunten5[[#This Row],[Beta_h]],TRUE))</f>
        <v/>
      </c>
      <c r="H43" s="13" t="str">
        <f>IF(FCPunten5[[#This Row],[Pf_h]]="", "",-_xlfn.NORM.S.INV(FCPunten5[[#This Row],[Pf_h]]))</f>
        <v/>
      </c>
    </row>
    <row r="44" spans="1:8" x14ac:dyDescent="0.25">
      <c r="C44" t="str">
        <f t="array" ref="C44">IF(SUM(FCPunten5[[#This Row],[Faalpad_ID]:[Knoop_ID]])&gt;=2,INDEX(FaalpadenGegevenScenario4[[Initiele_gebeurtenis]:[Vervolggebeurtenis_7]],FCPunten5[[#This Row],[Faalpad_ID]],FCPunten5[[#This Row],[Knoop_ID]]),"")</f>
        <v/>
      </c>
      <c r="G44" t="str">
        <f>IF(FCPunten5[[#This Row],[Beta_h]]="","",_xlfn.NORM.S.DIST(-1*FCPunten5[[#This Row],[Beta_h]],TRUE))</f>
        <v/>
      </c>
      <c r="H44" s="13" t="str">
        <f>IF(FCPunten5[[#This Row],[Pf_h]]="", "",-_xlfn.NORM.S.INV(FCPunten5[[#This Row],[Pf_h]]))</f>
        <v/>
      </c>
    </row>
    <row r="45" spans="1:8" x14ac:dyDescent="0.25">
      <c r="C45" t="str">
        <f t="array" ref="C45">IF(SUM(FCPunten5[[#This Row],[Faalpad_ID]:[Knoop_ID]])&gt;=2,INDEX(FaalpadenGegevenScenario4[[Initiele_gebeurtenis]:[Vervolggebeurtenis_7]],FCPunten5[[#This Row],[Faalpad_ID]],FCPunten5[[#This Row],[Knoop_ID]]),"")</f>
        <v/>
      </c>
      <c r="G45" t="str">
        <f>IF(FCPunten5[[#This Row],[Beta_h]]="","",_xlfn.NORM.S.DIST(-1*FCPunten5[[#This Row],[Beta_h]],TRUE))</f>
        <v/>
      </c>
      <c r="H45" s="13" t="str">
        <f>IF(FCPunten5[[#This Row],[Pf_h]]="", "",-_xlfn.NORM.S.INV(FCPunten5[[#This Row],[Pf_h]]))</f>
        <v/>
      </c>
    </row>
    <row r="46" spans="1:8" x14ac:dyDescent="0.25">
      <c r="C46" t="str">
        <f t="array" ref="C46">IF(SUM(FCPunten5[[#This Row],[Faalpad_ID]:[Knoop_ID]])&gt;=2,INDEX(FaalpadenGegevenScenario4[[Initiele_gebeurtenis]:[Vervolggebeurtenis_7]],FCPunten5[[#This Row],[Faalpad_ID]],FCPunten5[[#This Row],[Knoop_ID]]),"")</f>
        <v/>
      </c>
      <c r="G46" t="str">
        <f>IF(FCPunten5[[#This Row],[Beta_h]]="","",_xlfn.NORM.S.DIST(-1*FCPunten5[[#This Row],[Beta_h]],TRUE))</f>
        <v/>
      </c>
      <c r="H46" s="13" t="str">
        <f>IF(FCPunten5[[#This Row],[Pf_h]]="", "",-_xlfn.NORM.S.INV(FCPunten5[[#This Row],[Pf_h]]))</f>
        <v/>
      </c>
    </row>
    <row r="47" spans="1:8" x14ac:dyDescent="0.25">
      <c r="C47" t="str">
        <f t="array" ref="C47">IF(SUM(FCPunten5[[#This Row],[Faalpad_ID]:[Knoop_ID]])&gt;=2,INDEX(FaalpadenGegevenScenario4[[Initiele_gebeurtenis]:[Vervolggebeurtenis_7]],FCPunten5[[#This Row],[Faalpad_ID]],FCPunten5[[#This Row],[Knoop_ID]]),"")</f>
        <v/>
      </c>
      <c r="G47" t="str">
        <f>IF(FCPunten5[[#This Row],[Beta_h]]="","",_xlfn.NORM.S.DIST(-1*FCPunten5[[#This Row],[Beta_h]],TRUE))</f>
        <v/>
      </c>
      <c r="H47" s="13" t="str">
        <f>IF(FCPunten5[[#This Row],[Pf_h]]="", "",-_xlfn.NORM.S.INV(FCPunten5[[#This Row],[Pf_h]]))</f>
        <v/>
      </c>
    </row>
    <row r="48" spans="1:8" x14ac:dyDescent="0.25">
      <c r="C48" t="str">
        <f t="array" ref="C48">IF(SUM(FCPunten5[[#This Row],[Faalpad_ID]:[Knoop_ID]])&gt;=2,INDEX(FaalpadenGegevenScenario4[[Initiele_gebeurtenis]:[Vervolggebeurtenis_7]],FCPunten5[[#This Row],[Faalpad_ID]],FCPunten5[[#This Row],[Knoop_ID]]),"")</f>
        <v/>
      </c>
      <c r="G48" t="str">
        <f>IF(FCPunten5[[#This Row],[Beta_h]]="","",_xlfn.NORM.S.DIST(-1*FCPunten5[[#This Row],[Beta_h]],TRUE))</f>
        <v/>
      </c>
      <c r="H48" s="13" t="str">
        <f>IF(FCPunten5[[#This Row],[Pf_h]]="", "",-_xlfn.NORM.S.INV(FCPunten5[[#This Row],[Pf_h]]))</f>
        <v/>
      </c>
    </row>
    <row r="49" spans="3:8" x14ac:dyDescent="0.25">
      <c r="C49" t="str">
        <f t="array" ref="C49">IF(SUM(FCPunten5[[#This Row],[Faalpad_ID]:[Knoop_ID]])&gt;=2,INDEX(FaalpadenGegevenScenario4[[Initiele_gebeurtenis]:[Vervolggebeurtenis_7]],FCPunten5[[#This Row],[Faalpad_ID]],FCPunten5[[#This Row],[Knoop_ID]]),"")</f>
        <v/>
      </c>
      <c r="G49" t="str">
        <f>IF(FCPunten5[[#This Row],[Beta_h]]="","",_xlfn.NORM.S.DIST(-1*FCPunten5[[#This Row],[Beta_h]],TRUE))</f>
        <v/>
      </c>
      <c r="H49" s="13" t="str">
        <f>IF(FCPunten5[[#This Row],[Pf_h]]="", "",-_xlfn.NORM.S.INV(FCPunten5[[#This Row],[Pf_h]]))</f>
        <v/>
      </c>
    </row>
    <row r="50" spans="3:8" x14ac:dyDescent="0.25">
      <c r="C50" t="str">
        <f t="array" ref="C50">IF(SUM(FCPunten5[[#This Row],[Faalpad_ID]:[Knoop_ID]])&gt;=2,INDEX(FaalpadenGegevenScenario4[[Initiele_gebeurtenis]:[Vervolggebeurtenis_7]],FCPunten5[[#This Row],[Faalpad_ID]],FCPunten5[[#This Row],[Knoop_ID]]),"")</f>
        <v/>
      </c>
      <c r="G50" t="str">
        <f>IF(FCPunten5[[#This Row],[Beta_h]]="","",_xlfn.NORM.S.DIST(-1*FCPunten5[[#This Row],[Beta_h]],TRUE))</f>
        <v/>
      </c>
      <c r="H50" s="13" t="str">
        <f>IF(FCPunten5[[#This Row],[Pf_h]]="", "",-_xlfn.NORM.S.INV(FCPunten5[[#This Row],[Pf_h]]))</f>
        <v/>
      </c>
    </row>
    <row r="51" spans="3:8" x14ac:dyDescent="0.25">
      <c r="C51" t="str">
        <f t="array" ref="C51">IF(SUM(FCPunten5[[#This Row],[Faalpad_ID]:[Knoop_ID]])&gt;=2,INDEX(FaalpadenGegevenScenario4[[Initiele_gebeurtenis]:[Vervolggebeurtenis_7]],FCPunten5[[#This Row],[Faalpad_ID]],FCPunten5[[#This Row],[Knoop_ID]]),"")</f>
        <v/>
      </c>
      <c r="G51" t="str">
        <f>IF(FCPunten5[[#This Row],[Beta_h]]="","",_xlfn.NORM.S.DIST(-1*FCPunten5[[#This Row],[Beta_h]],TRUE))</f>
        <v/>
      </c>
      <c r="H51" s="13" t="str">
        <f>IF(FCPunten5[[#This Row],[Pf_h]]="", "",-_xlfn.NORM.S.INV(FCPunten5[[#This Row],[Pf_h]]))</f>
        <v/>
      </c>
    </row>
    <row r="52" spans="3:8" x14ac:dyDescent="0.25">
      <c r="C52" t="str">
        <f t="array" ref="C52">IF(SUM(FCPunten5[[#This Row],[Faalpad_ID]:[Knoop_ID]])&gt;=2,INDEX(FaalpadenGegevenScenario4[[Initiele_gebeurtenis]:[Vervolggebeurtenis_7]],FCPunten5[[#This Row],[Faalpad_ID]],FCPunten5[[#This Row],[Knoop_ID]]),"")</f>
        <v/>
      </c>
      <c r="G52" t="str">
        <f>IF(FCPunten5[[#This Row],[Beta_h]]="","",_xlfn.NORM.S.DIST(-1*FCPunten5[[#This Row],[Beta_h]],TRUE))</f>
        <v/>
      </c>
      <c r="H52" s="13" t="str">
        <f>IF(FCPunten5[[#This Row],[Pf_h]]="", "",-_xlfn.NORM.S.INV(FCPunten5[[#This Row],[Pf_h]]))</f>
        <v/>
      </c>
    </row>
    <row r="53" spans="3:8" x14ac:dyDescent="0.25">
      <c r="C53" t="str">
        <f t="array" ref="C53">IF(SUM(FCPunten5[[#This Row],[Faalpad_ID]:[Knoop_ID]])&gt;=2,INDEX(FaalpadenGegevenScenario4[[Initiele_gebeurtenis]:[Vervolggebeurtenis_7]],FCPunten5[[#This Row],[Faalpad_ID]],FCPunten5[[#This Row],[Knoop_ID]]),"")</f>
        <v/>
      </c>
      <c r="G53" t="str">
        <f>IF(FCPunten5[[#This Row],[Beta_h]]="","",_xlfn.NORM.S.DIST(-1*FCPunten5[[#This Row],[Beta_h]],TRUE))</f>
        <v/>
      </c>
      <c r="H53" s="13" t="str">
        <f>IF(FCPunten5[[#This Row],[Pf_h]]="", "",-_xlfn.NORM.S.INV(FCPunten5[[#This Row],[Pf_h]]))</f>
        <v/>
      </c>
    </row>
    <row r="54" spans="3:8" x14ac:dyDescent="0.25">
      <c r="C54" t="str">
        <f t="array" ref="C54">IF(SUM(FCPunten5[[#This Row],[Faalpad_ID]:[Knoop_ID]])&gt;=2,INDEX(FaalpadenGegevenScenario4[[Initiele_gebeurtenis]:[Vervolggebeurtenis_7]],FCPunten5[[#This Row],[Faalpad_ID]],FCPunten5[[#This Row],[Knoop_ID]]),"")</f>
        <v/>
      </c>
      <c r="G54" t="str">
        <f>IF(FCPunten5[[#This Row],[Beta_h]]="","",_xlfn.NORM.S.DIST(-1*FCPunten5[[#This Row],[Beta_h]],TRUE))</f>
        <v/>
      </c>
      <c r="H54" s="13" t="str">
        <f>IF(FCPunten5[[#This Row],[Pf_h]]="", "",-_xlfn.NORM.S.INV(FCPunten5[[#This Row],[Pf_h]]))</f>
        <v/>
      </c>
    </row>
    <row r="55" spans="3:8" x14ac:dyDescent="0.25">
      <c r="C55" t="str">
        <f t="array" ref="C55">IF(SUM(FCPunten5[[#This Row],[Faalpad_ID]:[Knoop_ID]])&gt;=2,INDEX(FaalpadenGegevenScenario4[[Initiele_gebeurtenis]:[Vervolggebeurtenis_7]],FCPunten5[[#This Row],[Faalpad_ID]],FCPunten5[[#This Row],[Knoop_ID]]),"")</f>
        <v/>
      </c>
      <c r="G55" t="str">
        <f>IF(FCPunten5[[#This Row],[Beta_h]]="","",_xlfn.NORM.S.DIST(-1*FCPunten5[[#This Row],[Beta_h]],TRUE))</f>
        <v/>
      </c>
      <c r="H55" s="13" t="str">
        <f>IF(FCPunten5[[#This Row],[Pf_h]]="", "",-_xlfn.NORM.S.INV(FCPunten5[[#This Row],[Pf_h]]))</f>
        <v/>
      </c>
    </row>
    <row r="56" spans="3:8" x14ac:dyDescent="0.25">
      <c r="C56" t="str">
        <f t="array" ref="C56">IF(SUM(FCPunten5[[#This Row],[Faalpad_ID]:[Knoop_ID]])&gt;=2,INDEX(FaalpadenGegevenScenario4[[Initiele_gebeurtenis]:[Vervolggebeurtenis_7]],FCPunten5[[#This Row],[Faalpad_ID]],FCPunten5[[#This Row],[Knoop_ID]]),"")</f>
        <v/>
      </c>
      <c r="G56" t="str">
        <f>IF(FCPunten5[[#This Row],[Beta_h]]="","",_xlfn.NORM.S.DIST(-1*FCPunten5[[#This Row],[Beta_h]],TRUE))</f>
        <v/>
      </c>
      <c r="H56" s="13" t="str">
        <f>IF(FCPunten5[[#This Row],[Pf_h]]="", "",-_xlfn.NORM.S.INV(FCPunten5[[#This Row],[Pf_h]]))</f>
        <v/>
      </c>
    </row>
    <row r="57" spans="3:8" x14ac:dyDescent="0.25">
      <c r="C57" t="str">
        <f t="array" ref="C57">IF(SUM(FCPunten5[[#This Row],[Faalpad_ID]:[Knoop_ID]])&gt;=2,INDEX(FaalpadenGegevenScenario4[[Initiele_gebeurtenis]:[Vervolggebeurtenis_7]],FCPunten5[[#This Row],[Faalpad_ID]],FCPunten5[[#This Row],[Knoop_ID]]),"")</f>
        <v/>
      </c>
      <c r="G57" t="str">
        <f>IF(FCPunten5[[#This Row],[Beta_h]]="","",_xlfn.NORM.S.DIST(-1*FCPunten5[[#This Row],[Beta_h]],TRUE))</f>
        <v/>
      </c>
      <c r="H57" s="13" t="str">
        <f>IF(FCPunten5[[#This Row],[Pf_h]]="", "",-_xlfn.NORM.S.INV(FCPunten5[[#This Row],[Pf_h]]))</f>
        <v/>
      </c>
    </row>
    <row r="58" spans="3:8" x14ac:dyDescent="0.25">
      <c r="C58" t="str">
        <f t="array" ref="C58">IF(SUM(FCPunten5[[#This Row],[Faalpad_ID]:[Knoop_ID]])&gt;=2,INDEX(FaalpadenGegevenScenario4[[Initiele_gebeurtenis]:[Vervolggebeurtenis_7]],FCPunten5[[#This Row],[Faalpad_ID]],FCPunten5[[#This Row],[Knoop_ID]]),"")</f>
        <v/>
      </c>
      <c r="G58" t="str">
        <f>IF(FCPunten5[[#This Row],[Beta_h]]="","",_xlfn.NORM.S.DIST(-1*FCPunten5[[#This Row],[Beta_h]],TRUE))</f>
        <v/>
      </c>
      <c r="H58" s="13" t="str">
        <f>IF(FCPunten5[[#This Row],[Pf_h]]="", "",-_xlfn.NORM.S.INV(FCPunten5[[#This Row],[Pf_h]]))</f>
        <v/>
      </c>
    </row>
    <row r="59" spans="3:8" x14ac:dyDescent="0.25">
      <c r="C59" t="str">
        <f t="array" ref="C59">IF(SUM(FCPunten5[[#This Row],[Faalpad_ID]:[Knoop_ID]])&gt;=2,INDEX(FaalpadenGegevenScenario4[[Initiele_gebeurtenis]:[Vervolggebeurtenis_7]],FCPunten5[[#This Row],[Faalpad_ID]],FCPunten5[[#This Row],[Knoop_ID]]),"")</f>
        <v/>
      </c>
      <c r="G59" t="str">
        <f>IF(FCPunten5[[#This Row],[Beta_h]]="","",_xlfn.NORM.S.DIST(-1*FCPunten5[[#This Row],[Beta_h]],TRUE))</f>
        <v/>
      </c>
      <c r="H59" s="13" t="str">
        <f>IF(FCPunten5[[#This Row],[Pf_h]]="", "",-_xlfn.NORM.S.INV(FCPunten5[[#This Row],[Pf_h]]))</f>
        <v/>
      </c>
    </row>
    <row r="60" spans="3:8" x14ac:dyDescent="0.25">
      <c r="C60" t="str">
        <f t="array" ref="C60">IF(SUM(FCPunten5[[#This Row],[Faalpad_ID]:[Knoop_ID]])&gt;=2,INDEX(FaalpadenGegevenScenario4[[Initiele_gebeurtenis]:[Vervolggebeurtenis_7]],FCPunten5[[#This Row],[Faalpad_ID]],FCPunten5[[#This Row],[Knoop_ID]]),"")</f>
        <v/>
      </c>
      <c r="G60" t="str">
        <f>IF(FCPunten5[[#This Row],[Beta_h]]="","",_xlfn.NORM.S.DIST(-1*FCPunten5[[#This Row],[Beta_h]],TRUE))</f>
        <v/>
      </c>
      <c r="H60" s="13" t="str">
        <f>IF(FCPunten5[[#This Row],[Pf_h]]="", "",-_xlfn.NORM.S.INV(FCPunten5[[#This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35</v>
      </c>
      <c r="B1" s="20" t="s">
        <v>36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0" sqref="Q20"/>
    </sheetView>
  </sheetViews>
  <sheetFormatPr defaultRowHeight="15" x14ac:dyDescent="0.25"/>
  <sheetData>
    <row r="1" spans="1:2" x14ac:dyDescent="0.25">
      <c r="A1" s="19" t="s">
        <v>35</v>
      </c>
      <c r="B1" s="20" t="s">
        <v>36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3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Dupuits, Guy</cp:lastModifiedBy>
  <dcterms:created xsi:type="dcterms:W3CDTF">2025-11-27T16:28:33Z</dcterms:created>
  <dcterms:modified xsi:type="dcterms:W3CDTF">2026-02-26T13:49:19Z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