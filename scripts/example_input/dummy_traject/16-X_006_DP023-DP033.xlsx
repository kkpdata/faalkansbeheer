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D44730C6-9028-46CC-B425-BE968C503124}" xr6:coauthVersionLast="47" xr6:coauthVersionMax="47" xr10:uidLastSave="{00000000-0000-0000-0000-000000000000}"/>
  <bookViews>
    <workbookView xWindow="-19905" yWindow="390" windowWidth="16755" windowHeight="14580" activeTab="2" xr2:uid="{00000000-000D-0000-FFFF-FFFF00000000}"/>
  </bookViews>
  <sheets>
    <sheet name="scenario1" sheetId="1" r:id="rId1"/>
    <sheet name="FP_overslag" sheetId="2" r:id="rId2"/>
    <sheet name="FP_leid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F6" i="1"/>
  <c r="C26" i="1" a="1"/>
  <c r="H60" i="1"/>
  <c r="G60" i="1"/>
  <c r="C60" i="1" a="1"/>
  <c r="C60" i="1" s="1"/>
  <c r="H59" i="1"/>
  <c r="G59" i="1"/>
  <c r="C59" i="1" a="1"/>
  <c r="C59" i="1" s="1"/>
  <c r="H58" i="1"/>
  <c r="G58" i="1"/>
  <c r="C58" i="1" a="1"/>
  <c r="C58" i="1" s="1"/>
  <c r="H57" i="1"/>
  <c r="G57" i="1"/>
  <c r="C57" i="1" a="1"/>
  <c r="C57" i="1" s="1"/>
  <c r="H56" i="1"/>
  <c r="G56" i="1"/>
  <c r="C56" i="1" a="1"/>
  <c r="C56" i="1" s="1"/>
  <c r="G55" i="1"/>
  <c r="C55" i="1" a="1"/>
  <c r="C55" i="1" s="1"/>
  <c r="H54" i="1"/>
  <c r="G54" i="1"/>
  <c r="C54" i="1" a="1"/>
  <c r="C54" i="1" s="1"/>
  <c r="H53" i="1"/>
  <c r="G53" i="1"/>
  <c r="C53" i="1" a="1"/>
  <c r="C53" i="1" s="1"/>
  <c r="H52" i="1"/>
  <c r="G52" i="1"/>
  <c r="C52" i="1" a="1"/>
  <c r="C52" i="1" s="1"/>
  <c r="H51" i="1"/>
  <c r="G51" i="1"/>
  <c r="C51" i="1" a="1"/>
  <c r="C51" i="1" s="1"/>
  <c r="H50" i="1"/>
  <c r="G50" i="1"/>
  <c r="C50" i="1" a="1"/>
  <c r="C50" i="1" s="1"/>
  <c r="H49" i="1"/>
  <c r="G49" i="1"/>
  <c r="C49" i="1" a="1"/>
  <c r="C49" i="1" s="1"/>
  <c r="H48" i="1"/>
  <c r="G48" i="1"/>
  <c r="C48" i="1" a="1"/>
  <c r="C48" i="1" s="1"/>
  <c r="H47" i="1"/>
  <c r="G47" i="1"/>
  <c r="C47" i="1" a="1"/>
  <c r="C47" i="1" s="1"/>
  <c r="H46" i="1"/>
  <c r="G46" i="1"/>
  <c r="C46" i="1" a="1"/>
  <c r="C46" i="1" s="1"/>
  <c r="H45" i="1"/>
  <c r="G45" i="1"/>
  <c r="C45" i="1" a="1"/>
  <c r="C45" i="1" s="1"/>
  <c r="H44" i="1"/>
  <c r="G44" i="1"/>
  <c r="C44" i="1" a="1"/>
  <c r="C44" i="1" s="1"/>
  <c r="H43" i="1"/>
  <c r="G43" i="1"/>
  <c r="C43" i="1" a="1"/>
  <c r="C43" i="1" s="1"/>
  <c r="H42" i="1"/>
  <c r="G42" i="1"/>
  <c r="C42" i="1" a="1"/>
  <c r="C42" i="1" s="1"/>
  <c r="H41" i="1"/>
  <c r="G41" i="1"/>
  <c r="C41" i="1" a="1"/>
  <c r="C41" i="1" s="1"/>
  <c r="H40" i="1"/>
  <c r="G40" i="1"/>
  <c r="C40" i="1" a="1"/>
  <c r="C40" i="1" s="1"/>
  <c r="H39" i="1"/>
  <c r="G39" i="1"/>
  <c r="C39" i="1" a="1"/>
  <c r="C39" i="1" s="1"/>
  <c r="H38" i="1"/>
  <c r="G38" i="1"/>
  <c r="C38" i="1" a="1"/>
  <c r="C38" i="1" s="1"/>
  <c r="H37" i="1"/>
  <c r="G37" i="1"/>
  <c r="C37" i="1" a="1"/>
  <c r="C37" i="1" s="1"/>
  <c r="H36" i="1"/>
  <c r="G36" i="1"/>
  <c r="C36" i="1" a="1"/>
  <c r="C36" i="1" s="1"/>
  <c r="H35" i="1"/>
  <c r="G35" i="1"/>
  <c r="C35" i="1" a="1"/>
  <c r="C35" i="1" s="1"/>
  <c r="H34" i="1"/>
  <c r="G34" i="1"/>
  <c r="C34" i="1" a="1"/>
  <c r="C34" i="1" s="1"/>
  <c r="H33" i="1"/>
  <c r="G33" i="1"/>
  <c r="C33" i="1" a="1"/>
  <c r="C33" i="1" s="1"/>
  <c r="H32" i="1"/>
  <c r="G32" i="1"/>
  <c r="C32" i="1" a="1"/>
  <c r="C32" i="1" s="1"/>
  <c r="H31" i="1"/>
  <c r="G31" i="1"/>
  <c r="C31" i="1" a="1"/>
  <c r="C31" i="1" s="1"/>
  <c r="H30" i="1"/>
  <c r="G30" i="1"/>
  <c r="C30" i="1" a="1"/>
  <c r="C30" i="1" s="1"/>
  <c r="H29" i="1"/>
  <c r="G29" i="1"/>
  <c r="C29" i="1" a="1"/>
  <c r="C29" i="1" s="1"/>
  <c r="H28" i="1"/>
  <c r="G28" i="1"/>
  <c r="C28" i="1" a="1"/>
  <c r="C28" i="1" s="1"/>
  <c r="H27" i="1"/>
  <c r="G27" i="1"/>
  <c r="C27" i="1" a="1"/>
  <c r="C27" i="1" s="1"/>
  <c r="H26" i="1"/>
  <c r="G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<sst xmlns="http://schemas.openxmlformats.org/spreadsheetml/2006/main" count="69" uniqueCount="56">
  <si>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</si>
  <si>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</si>
  <si>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</si>
  <si>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</si>
  <si>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</si>
  <si>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</si>
  <si>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</si>
  <si>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</si>
  <si>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</si>
  <si>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</si>
  <si>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</si>
  <si>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</si>
  <si>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</si>
  <si>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</si>
  <si>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</si>
  <si>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</si>
  <si>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016-01_0146_9_BO_km0954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</si>
  <si>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</si>
  <si>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</si>
  <si>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</si>
  <si>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</si>
  <si>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</si>
  <si>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</si>
  <si>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</si>
  <si>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</si>
  <si>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</si>
  <si>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</si>
  <si>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</si>
  <si>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</si>
  <si>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</si>
  <si>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</si>
  <si>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</si>
  <si>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</si>
  <si>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</si>
  <si>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</si>
  <si>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</si>
  <si>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</si>
  <si>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</si>
  <si>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</si>
  <si>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</si>
  <si>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</si>
  <si>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16-X</t>
  </si>
  <si>
    <t>DP023.-DP033.</t>
  </si>
  <si>
    <t>groene dijk met leidingkruising</t>
  </si>
  <si>
    <t>Groene dijk met leidingkruising</t>
  </si>
  <si>
    <t>DP025.+000m</t>
  </si>
  <si>
    <t>leiding</t>
  </si>
  <si>
    <t>GEKB</t>
  </si>
  <si>
    <t>Overstroming |GEKB leidingfalen</t>
  </si>
  <si>
    <t>Overstroming |GEKB geen leidingfalen</t>
  </si>
  <si>
    <t>GEKB | leidingfalen</t>
  </si>
  <si>
    <t>Herstel faalt</t>
  </si>
  <si>
    <t>STBI</t>
  </si>
  <si>
    <t>STBI | leidingfalen</t>
  </si>
  <si>
    <t>Overstroming |STBI leidingfalen</t>
  </si>
  <si>
    <t>Overstroming |STBI geen leidingfalen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</si>
</sst>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  <xf numFmtId="11" fontId="0" fillId="0" borderId="0" xfId="0" applyNumberFormat="1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alpadenGegevenScenario" displayName="FaalpadenGegevenScenario" ref="A12:K20" totalsRowShown="0" headerRowDxfId="13" dataDxfId="11" headerRowBorderDxfId="12">
  <autoFilter ref="A12:K20" xr:uid="{00000000-0009-0000-0100-000001000000}"/>
  <tableColumns count="11">
    <tableColumn id="1" xr3:uid="{00000000-0010-0000-0000-000001000000}" name="Faalpad_ID" dataDxfId="10"/>
    <tableColumn id="2" xr3:uid="{00000000-0010-0000-0000-000002000000}" name="Overslag"/>
    <tableColumn id="3" xr3:uid="{00000000-0010-0000-0000-000003000000}" name="Indirect_mechanisme"/>
    <tableColumn id="4" xr3:uid="{00000000-0010-0000-0000-000004000000}" name="Initiele_gebeurtenis" dataDxfId="9"/>
    <tableColumn id="5" xr3:uid="{00000000-0010-0000-0000-000005000000}" name="Vervolggebeurtenis_1" dataDxfId="8"/>
    <tableColumn id="6" xr3:uid="{00000000-0010-0000-0000-000006000000}" name="Vervolggebeurtenis_2" dataDxfId="7"/>
    <tableColumn id="7" xr3:uid="{00000000-0010-0000-0000-000007000000}" name="Vervolggebeurtenis_3" dataDxfId="6"/>
    <tableColumn id="8" xr3:uid="{00000000-0010-0000-0000-000008000000}" name="Vervolggebeurtenis_4" dataDxfId="5"/>
    <tableColumn id="9" xr3:uid="{00000000-0010-0000-0000-000009000000}" name="Vervolggebeurtenis_5" dataDxfId="4"/>
    <tableColumn id="10" xr3:uid="{00000000-0010-0000-0000-00000A000000}" name="Vervolggebeurtenis_6" dataDxfId="3"/>
    <tableColumn id="11" xr3:uid="{00000000-0010-0000-0000-00000B000000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CPunten" displayName="FCPunten" ref="A25:I60" totalsRowShown="0" headerRowDxfId="1" headerRowBorderDxfId="0">
  <autoFilter ref="A25:I60" xr:uid="{00000000-0009-0000-0100-000002000000}"/>
  <tableColumns count="9">
    <tableColumn id="1" xr3:uid="{00000000-0010-0000-0100-000001000000}" name="Faalpad_ID"/>
    <tableColumn id="2" xr3:uid="{00000000-0010-0000-0100-000002000000}" name="Knoop_ID"/>
    <tableColumn id="3" xr3:uid="{00000000-0010-0000-0100-000003000000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00000000-0010-0000-0100-000004000000}" name="h"/>
    <tableColumn id="5" xr3:uid="{00000000-0010-0000-0100-000005000000}" name="Pf_h"/>
    <tableColumn id="6" xr3:uid="{00000000-0010-0000-0100-000006000000}" name="Beta_h"/>
    <tableColumn id="7" xr3:uid="{00000000-0010-0000-0100-000007000000}" name="Pf uit Beta">
      <calculatedColumnFormula>IF(FCPunten[[#This Row],[Beta_h]]="","",_xlfn.NORM.S.DIST(-1*FCPunten[[#This Row],[Beta_h]],TRUE))</calculatedColumnFormula>
    </tableColumn>
    <tableColumn id="8" xr3:uid="{00000000-0010-0000-0100-000008000000}" name="Beta uit Pf">
      <calculatedColumnFormula>IF(FCPunten[[#This Row],[Pf_h]]="", "",-_xlfn.NORM.S.INV(FCPunten[[#This Row],[Pf_h]]))</calculatedColumnFormula>
    </tableColumn>
    <tableColumn id="9" xr3:uid="{00000000-0010-0000-0100-000009000000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opLeftCell="B48" zoomScale="115" zoomScaleNormal="115" workbookViewId="0">
      <selection activeCell="E54" sqref="E54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44</v>
      </c>
    </row>
    <row r="2" spans="1:14" ht="15.75" customHeight="1" thickTop="1" x14ac:dyDescent="0.25"/>
    <row r="4" spans="1:14" x14ac:dyDescent="0.25">
      <c r="A4" s="25" t="s">
        <v>1</v>
      </c>
      <c r="B4" s="26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41</v>
      </c>
      <c r="B6" s="5">
        <v>2300</v>
      </c>
      <c r="C6" s="5">
        <v>3300</v>
      </c>
      <c r="D6" s="5">
        <v>6</v>
      </c>
      <c r="E6" s="5" t="s">
        <v>42</v>
      </c>
      <c r="F6" s="5">
        <f>C6-B6</f>
        <v>1000</v>
      </c>
      <c r="G6" s="5" t="s">
        <v>43</v>
      </c>
      <c r="H6" s="5"/>
      <c r="I6" s="5">
        <v>1</v>
      </c>
      <c r="J6" s="6">
        <v>1</v>
      </c>
      <c r="K6" s="6">
        <v>2500</v>
      </c>
      <c r="L6" s="6" t="s">
        <v>45</v>
      </c>
      <c r="M6" s="6" t="s">
        <v>16</v>
      </c>
      <c r="N6" s="24">
        <v>6.65</v>
      </c>
    </row>
    <row r="11" spans="1:14" x14ac:dyDescent="0.25">
      <c r="A11" s="27" t="s">
        <v>17</v>
      </c>
      <c r="B11" s="28"/>
      <c r="C11" t="s">
        <v>18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19</v>
      </c>
      <c r="B12" s="16" t="s">
        <v>20</v>
      </c>
      <c r="C12" s="16" t="s">
        <v>21</v>
      </c>
      <c r="D12" s="17" t="s">
        <v>22</v>
      </c>
      <c r="E12" s="17" t="s">
        <v>23</v>
      </c>
      <c r="F12" s="17" t="s">
        <v>24</v>
      </c>
      <c r="G12" s="17" t="s">
        <v>25</v>
      </c>
      <c r="H12" s="17" t="s">
        <v>26</v>
      </c>
      <c r="I12" s="17" t="s">
        <v>27</v>
      </c>
      <c r="J12" s="17" t="s">
        <v>28</v>
      </c>
      <c r="K12" s="18" t="s">
        <v>29</v>
      </c>
    </row>
    <row r="13" spans="1:14" ht="45" x14ac:dyDescent="0.25">
      <c r="A13" s="7">
        <v>1</v>
      </c>
      <c r="B13" t="s">
        <v>30</v>
      </c>
      <c r="C13" t="s">
        <v>30</v>
      </c>
      <c r="D13" s="8" t="s">
        <v>47</v>
      </c>
      <c r="E13" s="8" t="s">
        <v>49</v>
      </c>
      <c r="F13" s="8"/>
      <c r="G13" s="8"/>
      <c r="H13" s="8"/>
      <c r="I13" s="8"/>
      <c r="J13" s="8"/>
      <c r="K13" s="8"/>
    </row>
    <row r="14" spans="1:14" ht="45" x14ac:dyDescent="0.25">
      <c r="A14" s="7">
        <v>2</v>
      </c>
      <c r="B14" t="s">
        <v>30</v>
      </c>
      <c r="C14" t="s">
        <v>46</v>
      </c>
      <c r="D14" s="8" t="s">
        <v>51</v>
      </c>
      <c r="E14" s="8" t="s">
        <v>50</v>
      </c>
      <c r="F14" s="8" t="s">
        <v>48</v>
      </c>
      <c r="G14" s="8"/>
      <c r="H14" s="8"/>
      <c r="I14" s="8"/>
      <c r="J14" s="8"/>
      <c r="K14" s="8"/>
    </row>
    <row r="15" spans="1:14" ht="45" x14ac:dyDescent="0.25">
      <c r="A15" s="7">
        <v>3</v>
      </c>
      <c r="B15" t="s">
        <v>30</v>
      </c>
      <c r="C15" t="s">
        <v>30</v>
      </c>
      <c r="D15" s="8" t="s">
        <v>52</v>
      </c>
      <c r="E15" s="8" t="s">
        <v>55</v>
      </c>
      <c r="F15" s="8"/>
      <c r="G15" s="8"/>
      <c r="H15" s="8"/>
      <c r="I15" s="8"/>
      <c r="J15" s="8"/>
      <c r="K15" s="8"/>
    </row>
    <row r="16" spans="1:14" ht="45" x14ac:dyDescent="0.25">
      <c r="A16" s="7">
        <v>4</v>
      </c>
      <c r="B16" t="s">
        <v>30</v>
      </c>
      <c r="C16" t="s">
        <v>46</v>
      </c>
      <c r="D16" s="8" t="s">
        <v>51</v>
      </c>
      <c r="E16" s="8" t="s">
        <v>53</v>
      </c>
      <c r="F16" s="8" t="s">
        <v>54</v>
      </c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7" t="s">
        <v>31</v>
      </c>
      <c r="B24" s="28"/>
      <c r="E24" t="s">
        <v>32</v>
      </c>
      <c r="G24" t="s">
        <v>33</v>
      </c>
    </row>
    <row r="25" spans="1:11" x14ac:dyDescent="0.25">
      <c r="A25" s="15" t="s">
        <v>19</v>
      </c>
      <c r="B25" s="16" t="s">
        <v>18</v>
      </c>
      <c r="C25" s="16" t="s">
        <v>34</v>
      </c>
      <c r="D25" s="16" t="s">
        <v>35</v>
      </c>
      <c r="E25" s="16" t="s">
        <v>36</v>
      </c>
      <c r="F25" s="16" t="s">
        <v>37</v>
      </c>
      <c r="G25" s="16" t="s">
        <v>38</v>
      </c>
      <c r="H25" s="21" t="s">
        <v>39</v>
      </c>
      <c r="I25" s="22" t="s">
        <v>40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>GEKB</v>
      </c>
      <c r="D26">
        <v>1</v>
      </c>
      <c r="F26">
        <v>20</v>
      </c>
      <c r="G26">
        <f>IF(FCPunten[[#This Row],[Beta_h]]="","",_xlfn.NORM.S.DIST(-1*FCPunten[[#This Row],[Beta_h]],TRUE))</f>
        <v>2.753624118606156E-89</v>
      </c>
      <c r="H26" s="13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>
        <f t="array" ref="C27">IF(SUM(FCPunten[[#This Row],[Faalpad_ID]:[Knoop_ID]])&gt;=2,INDEX(FaalpadenGegevenScenario[[Initiele_gebeurtenis]:[Vervolggebeurtenis_7]],FCPunten[[#This Row],[Faalpad_ID]],FCPunten[[#This Row],[Knoop_ID]]),"")</f>
        <v>GEKB</v>
      </c>
      <c r="D27">
        <v>4</v>
      </c>
      <c r="F27">
        <v>20</v>
      </c>
      <c r="G27">
        <f>IF(FCPunten[[#This Row],[Beta_h]]="","",_xlfn.NORM.S.DIST(-1*FCPunten[[#This Row],[Beta_h]],TRUE))</f>
        <v>2.753624118606156E-89</v>
      </c>
      <c r="H27" s="13" t="str">
        <f>IF(FCPunten[[#This Row],[Pf_h]]="", "",-_xlfn.NORM.S.INV(FCPunten[[#This Row],[Pf_h]]))</f>
        <v/>
      </c>
    </row>
    <row r="28" spans="1:11" x14ac:dyDescent="0.25">
      <c r="A28">
        <v>1</v>
      </c>
      <c r="B28">
        <v>1</v>
      </c>
      <c r="C28" t="str">
        <f t="array" ref="C28">IF(SUM(FCPunten[[#This Row],[Faalpad_ID]:[Knoop_ID]])&gt;=2,INDEX(FaalpadenGegevenScenario[[Initiele_gebeurtenis]:[Vervolggebeurtenis_7]],FCPunten[[#This Row],[Faalpad_ID]],FCPunten[[#This Row],[Knoop_ID]]),"")</f>
        <v>GEKB</v>
      </c>
      <c r="D28">
        <v>5.6</v>
      </c>
      <c r="F28">
        <v>6</v>
      </c>
      <c r="G28">
        <f>IF(FCPunten[[#This Row],[Beta_h]]="","",_xlfn.NORM.S.DIST(-1*FCPunten[[#This Row],[Beta_h]],TRUE))</f>
        <v>9.8658764503769437E-10</v>
      </c>
      <c r="H28" s="13" t="str">
        <f>IF(FCPunten[[#This Row],[Pf_h]]="", "",-_xlfn.NORM.S.INV(FCPunten[[#This Row],[Pf_h]]))</f>
        <v/>
      </c>
    </row>
    <row r="29" spans="1:11" x14ac:dyDescent="0.25">
      <c r="A29">
        <v>1</v>
      </c>
      <c r="B29">
        <v>1</v>
      </c>
      <c r="C29" t="str">
        <f t="array" ref="C29">IF(SUM(FCPunten[[#This Row],[Faalpad_ID]:[Knoop_ID]])&gt;=2,INDEX(FaalpadenGegevenScenario[[Initiele_gebeurtenis]:[Vervolggebeurtenis_7]],FCPunten[[#This Row],[Faalpad_ID]],FCPunten[[#This Row],[Knoop_ID]]),"")</f>
        <v>GEKB</v>
      </c>
      <c r="D29">
        <v>6</v>
      </c>
      <c r="F29">
        <v>3.5</v>
      </c>
      <c r="G29">
        <f>IF(FCPunten[[#This Row],[Beta_h]]="","",_xlfn.NORM.S.DIST(-1*FCPunten[[#This Row],[Beta_h]],TRUE))</f>
        <v>2.3262907903552504E-4</v>
      </c>
      <c r="H29" s="13" t="str">
        <f>IF(FCPunten[[#This Row],[Pf_h]]="", "",-_xlfn.NORM.S.INV(FCPunten[[#This Row],[Pf_h]]))</f>
        <v/>
      </c>
    </row>
    <row r="30" spans="1:11" x14ac:dyDescent="0.25">
      <c r="A30">
        <v>1</v>
      </c>
      <c r="B30">
        <v>1</v>
      </c>
      <c r="C30" t="str">
        <f t="array" ref="C30">IF(SUM(FCPunten[[#This Row],[Faalpad_ID]:[Knoop_ID]])&gt;=2,INDEX(FaalpadenGegevenScenario[[Initiele_gebeurtenis]:[Vervolggebeurtenis_7]],FCPunten[[#This Row],[Faalpad_ID]],FCPunten[[#This Row],[Knoop_ID]]),"")</f>
        <v>GEKB</v>
      </c>
      <c r="D30">
        <v>6.3</v>
      </c>
      <c r="F30">
        <v>2</v>
      </c>
      <c r="G30">
        <f>IF(FCPunten[[#This Row],[Beta_h]]="","",_xlfn.NORM.S.DIST(-1*FCPunten[[#This Row],[Beta_h]],TRUE))</f>
        <v>2.2750131948179191E-2</v>
      </c>
      <c r="H30" s="13" t="str">
        <f>IF(FCPunten[[#This Row],[Pf_h]]="", "",-_xlfn.NORM.S.INV(FCPunten[[#This Row],[Pf_h]]))</f>
        <v/>
      </c>
    </row>
    <row r="31" spans="1:11" x14ac:dyDescent="0.25">
      <c r="A31">
        <v>1</v>
      </c>
      <c r="B31">
        <v>1</v>
      </c>
      <c r="C31" t="str">
        <f t="array" ref="C31">IF(SUM(FCPunten[[#This Row],[Faalpad_ID]:[Knoop_ID]])&gt;=2,INDEX(FaalpadenGegevenScenario[[Initiele_gebeurtenis]:[Vervolggebeurtenis_7]],FCPunten[[#This Row],[Faalpad_ID]],FCPunten[[#This Row],[Knoop_ID]]),"")</f>
        <v>GEKB</v>
      </c>
      <c r="D31">
        <v>6.45</v>
      </c>
      <c r="F31">
        <v>0</v>
      </c>
      <c r="G31">
        <f>IF(FCPunten[[#This Row],[Beta_h]]="","",_xlfn.NORM.S.DIST(-1*FCPunten[[#This Row],[Beta_h]],TRUE))</f>
        <v>0.5</v>
      </c>
      <c r="H31" s="13" t="str">
        <f>IF(FCPunten[[#This Row],[Pf_h]]="", "",-_xlfn.NORM.S.INV(FCPunten[[#This Row],[Pf_h]]))</f>
        <v/>
      </c>
    </row>
    <row r="32" spans="1:11" x14ac:dyDescent="0.25">
      <c r="A32">
        <v>2</v>
      </c>
      <c r="B32">
        <v>1</v>
      </c>
      <c r="C32" t="str">
        <f t="array" ref="C32">IF(SUM(FCPunten[[#This Row],[Faalpad_ID]:[Knoop_ID]])&gt;=2,INDEX(FaalpadenGegevenScenario[[Initiele_gebeurtenis]:[Vervolggebeurtenis_7]],FCPunten[[#This Row],[Faalpad_ID]],FCPunten[[#This Row],[Knoop_ID]]),"")</f>
        <v>Herstel faalt</v>
      </c>
      <c r="D32">
        <v>1</v>
      </c>
      <c r="E32">
        <v>0.25</v>
      </c>
      <c r="G32" t="str">
        <f>IF(FCPunten[[#This Row],[Beta_h]]="","",_xlfn.NORM.S.DIST(-1*FCPunten[[#This Row],[Beta_h]],TRUE))</f>
        <v/>
      </c>
      <c r="H32" s="13">
        <f>IF(FCPunten[[#This Row],[Pf_h]]="", "",-_xlfn.NORM.S.INV(FCPunten[[#This Row],[Pf_h]]))</f>
        <v>0.67448975019608193</v>
      </c>
    </row>
    <row r="33" spans="1:8" x14ac:dyDescent="0.25">
      <c r="A33">
        <v>2</v>
      </c>
      <c r="B33">
        <v>2</v>
      </c>
      <c r="C33" t="str">
        <f t="array" ref="C33">IF(SUM(FCPunten[[#This Row],[Faalpad_ID]:[Knoop_ID]])&gt;=2,INDEX(FaalpadenGegevenScenario[[Initiele_gebeurtenis]:[Vervolggebeurtenis_7]],FCPunten[[#This Row],[Faalpad_ID]],FCPunten[[#This Row],[Knoop_ID]]),"")</f>
        <v>GEKB | leidingfalen</v>
      </c>
      <c r="D33">
        <v>1</v>
      </c>
      <c r="F33">
        <v>20</v>
      </c>
      <c r="G33">
        <f>IF(FCPunten[[#This Row],[Beta_h]]="","",_xlfn.NORM.S.DIST(-1*FCPunten[[#This Row],[Beta_h]],TRUE))</f>
        <v>2.753624118606156E-89</v>
      </c>
      <c r="H33" s="13" t="str">
        <f>IF(FCPunten[[#This Row],[Pf_h]]="", "",-_xlfn.NORM.S.INV(FCPunten[[#This Row],[Pf_h]]))</f>
        <v/>
      </c>
    </row>
    <row r="34" spans="1:8" x14ac:dyDescent="0.25">
      <c r="A34">
        <v>2</v>
      </c>
      <c r="B34">
        <v>2</v>
      </c>
      <c r="C34" t="str">
        <f t="array" ref="C34">IF(SUM(FCPunten[[#This Row],[Faalpad_ID]:[Knoop_ID]])&gt;=2,INDEX(FaalpadenGegevenScenario[[Initiele_gebeurtenis]:[Vervolggebeurtenis_7]],FCPunten[[#This Row],[Faalpad_ID]],FCPunten[[#This Row],[Knoop_ID]]),"")</f>
        <v>GEKB | leidingfalen</v>
      </c>
      <c r="D34">
        <v>1.6</v>
      </c>
      <c r="F34">
        <v>20</v>
      </c>
      <c r="G34">
        <f>IF(FCPunten[[#This Row],[Beta_h]]="","",_xlfn.NORM.S.DIST(-1*FCPunten[[#This Row],[Beta_h]],TRUE))</f>
        <v>2.753624118606156E-89</v>
      </c>
      <c r="H34" s="13" t="str">
        <f>IF(FCPunten[[#This Row],[Pf_h]]="", "",-_xlfn.NORM.S.INV(FCPunten[[#This Row],[Pf_h]]))</f>
        <v/>
      </c>
    </row>
    <row r="35" spans="1:8" x14ac:dyDescent="0.25">
      <c r="A35">
        <v>2</v>
      </c>
      <c r="B35">
        <v>2</v>
      </c>
      <c r="C35" t="str">
        <f t="array" ref="C35">IF(SUM(FCPunten[[#This Row],[Faalpad_ID]:[Knoop_ID]])&gt;=2,INDEX(FaalpadenGegevenScenario[[Initiele_gebeurtenis]:[Vervolggebeurtenis_7]],FCPunten[[#This Row],[Faalpad_ID]],FCPunten[[#This Row],[Knoop_ID]]),"")</f>
        <v>GEKB | leidingfalen</v>
      </c>
      <c r="D35">
        <v>3.2</v>
      </c>
      <c r="F35">
        <v>6</v>
      </c>
      <c r="G35">
        <f>IF(FCPunten[[#This Row],[Beta_h]]="","",_xlfn.NORM.S.DIST(-1*FCPunten[[#This Row],[Beta_h]],TRUE))</f>
        <v>9.8658764503769437E-10</v>
      </c>
      <c r="H35" s="13" t="str">
        <f>IF(FCPunten[[#This Row],[Pf_h]]="", "",-_xlfn.NORM.S.INV(FCPunten[[#This Row],[Pf_h]]))</f>
        <v/>
      </c>
    </row>
    <row r="36" spans="1:8" x14ac:dyDescent="0.25">
      <c r="A36">
        <v>2</v>
      </c>
      <c r="B36">
        <v>2</v>
      </c>
      <c r="C36" t="str">
        <f t="array" ref="C36">IF(SUM(FCPunten[[#This Row],[Faalpad_ID]:[Knoop_ID]])&gt;=2,INDEX(FaalpadenGegevenScenario[[Initiele_gebeurtenis]:[Vervolggebeurtenis_7]],FCPunten[[#This Row],[Faalpad_ID]],FCPunten[[#This Row],[Knoop_ID]]),"")</f>
        <v>GEKB | leidingfalen</v>
      </c>
      <c r="D36">
        <v>3.6</v>
      </c>
      <c r="F36">
        <v>3.5</v>
      </c>
      <c r="G36">
        <f>IF(FCPunten[[#This Row],[Beta_h]]="","",_xlfn.NORM.S.DIST(-1*FCPunten[[#This Row],[Beta_h]],TRUE))</f>
        <v>2.3262907903552504E-4</v>
      </c>
      <c r="H36" s="13" t="str">
        <f>IF(FCPunten[[#This Row],[Pf_h]]="", "",-_xlfn.NORM.S.INV(FCPunten[[#This Row],[Pf_h]]))</f>
        <v/>
      </c>
    </row>
    <row r="37" spans="1:8" x14ac:dyDescent="0.25">
      <c r="A37">
        <v>2</v>
      </c>
      <c r="B37">
        <v>2</v>
      </c>
      <c r="C37" t="str">
        <f t="array" ref="C37">IF(SUM(FCPunten[[#This Row],[Faalpad_ID]:[Knoop_ID]])&gt;=2,INDEX(FaalpadenGegevenScenario[[Initiele_gebeurtenis]:[Vervolggebeurtenis_7]],FCPunten[[#This Row],[Faalpad_ID]],FCPunten[[#This Row],[Knoop_ID]]),"")</f>
        <v>GEKB | leidingfalen</v>
      </c>
      <c r="D37">
        <v>3.9</v>
      </c>
      <c r="F37">
        <v>2</v>
      </c>
      <c r="G37">
        <f>IF(FCPunten[[#This Row],[Beta_h]]="","",_xlfn.NORM.S.DIST(-1*FCPunten[[#This Row],[Beta_h]],TRUE))</f>
        <v>2.2750131948179191E-2</v>
      </c>
      <c r="H37" s="13" t="str">
        <f>IF(FCPunten[[#This Row],[Pf_h]]="", "",-_xlfn.NORM.S.INV(FCPunten[[#This Row],[Pf_h]]))</f>
        <v/>
      </c>
    </row>
    <row r="38" spans="1:8" x14ac:dyDescent="0.25">
      <c r="A38">
        <v>2</v>
      </c>
      <c r="B38">
        <v>2</v>
      </c>
      <c r="C38" t="str">
        <f t="array" ref="C38">IF(SUM(FCPunten[[#This Row],[Faalpad_ID]:[Knoop_ID]])&gt;=2,INDEX(FaalpadenGegevenScenario[[Initiele_gebeurtenis]:[Vervolggebeurtenis_7]],FCPunten[[#This Row],[Faalpad_ID]],FCPunten[[#This Row],[Knoop_ID]]),"")</f>
        <v>GEKB | leidingfalen</v>
      </c>
      <c r="D38">
        <v>4.05</v>
      </c>
      <c r="F38">
        <v>0</v>
      </c>
      <c r="G38">
        <f>IF(FCPunten[[#This Row],[Beta_h]]="","",_xlfn.NORM.S.DIST(-1*FCPunten[[#This Row],[Beta_h]],TRUE))</f>
        <v>0.5</v>
      </c>
      <c r="H38" s="13" t="str">
        <f>IF(FCPunten[[#This Row],[Pf_h]]="", "",-_xlfn.NORM.S.INV(FCPunten[[#This Row],[Pf_h]]))</f>
        <v/>
      </c>
    </row>
    <row r="39" spans="1:8" x14ac:dyDescent="0.25">
      <c r="A39">
        <v>2</v>
      </c>
      <c r="B39">
        <v>3</v>
      </c>
      <c r="C39" t="str">
        <f t="array" ref="C39">IF(SUM(FCPunten[[#This Row],[Faalpad_ID]:[Knoop_ID]])&gt;=2,INDEX(FaalpadenGegevenScenario[[Initiele_gebeurtenis]:[Vervolggebeurtenis_7]],FCPunten[[#This Row],[Faalpad_ID]],FCPunten[[#This Row],[Knoop_ID]]),"")</f>
        <v>Overstroming |GEKB leidingfalen</v>
      </c>
      <c r="D39">
        <v>1</v>
      </c>
      <c r="E39">
        <v>1</v>
      </c>
      <c r="G39" t="str">
        <f>IF(FCPunten[[#This Row],[Beta_h]]="","",_xlfn.NORM.S.DIST(-1*FCPunten[[#This Row],[Beta_h]],TRUE))</f>
        <v/>
      </c>
      <c r="H39" s="13" t="e">
        <f>IF(FCPunten[[#This Row],[Pf_h]]="", "",-_xlfn.NORM.S.INV(FCPunten[[#This Row],[Pf_h]]))</f>
        <v>#NUM!</v>
      </c>
    </row>
    <row r="40" spans="1:8" x14ac:dyDescent="0.25">
      <c r="A40">
        <v>1</v>
      </c>
      <c r="B40">
        <v>2</v>
      </c>
      <c r="C40" t="str">
        <f t="array" ref="C40">IF(SUM(FCPunten[[#This Row],[Faalpad_ID]:[Knoop_ID]])&gt;=2,INDEX(FaalpadenGegevenScenario[[Initiele_gebeurtenis]:[Vervolggebeurtenis_7]],FCPunten[[#This Row],[Faalpad_ID]],FCPunten[[#This Row],[Knoop_ID]]),"")</f>
        <v>Overstroming |GEKB geen leidingfalen</v>
      </c>
      <c r="D40">
        <v>1</v>
      </c>
      <c r="E40">
        <v>1</v>
      </c>
      <c r="G40" t="str">
        <f>IF(FCPunten[[#This Row],[Beta_h]]="","",_xlfn.NORM.S.DIST(-1*FCPunten[[#This Row],[Beta_h]],TRUE))</f>
        <v/>
      </c>
      <c r="H40" s="13" t="e">
        <f>IF(FCPunten[[#This Row],[Pf_h]]="", "",-_xlfn.NORM.S.INV(FCPunten[[#This Row],[Pf_h]]))</f>
        <v>#NUM!</v>
      </c>
    </row>
    <row r="41" spans="1:8" x14ac:dyDescent="0.25">
      <c r="A41">
        <v>3</v>
      </c>
      <c r="B41">
        <v>1</v>
      </c>
      <c r="C41" t="str">
        <f t="array" ref="C41">IF(SUM(FCPunten[[#This Row],[Faalpad_ID]:[Knoop_ID]])&gt;=2,INDEX(FaalpadenGegevenScenario[[Initiele_gebeurtenis]:[Vervolggebeurtenis_7]],FCPunten[[#This Row],[Faalpad_ID]],FCPunten[[#This Row],[Knoop_ID]]),"")</f>
        <v>STBI</v>
      </c>
      <c r="D41">
        <v>1</v>
      </c>
      <c r="F41">
        <v>8</v>
      </c>
      <c r="G41">
        <f>IF(FCPunten[[#This Row],[Beta_h]]="","",_xlfn.NORM.S.DIST(-1*FCPunten[[#This Row],[Beta_h]],TRUE))</f>
        <v>6.2209605742717375E-16</v>
      </c>
      <c r="H41" s="13" t="str">
        <f>IF(FCPunten[[#This Row],[Pf_h]]="", "",-_xlfn.NORM.S.INV(FCPunten[[#This Row],[Pf_h]]))</f>
        <v/>
      </c>
    </row>
    <row r="42" spans="1:8" x14ac:dyDescent="0.25">
      <c r="A42">
        <v>3</v>
      </c>
      <c r="B42">
        <v>1</v>
      </c>
      <c r="C42" t="str">
        <f t="array" ref="C42">IF(SUM(FCPunten[[#This Row],[Faalpad_ID]:[Knoop_ID]])&gt;=2,INDEX(FaalpadenGegevenScenario[[Initiele_gebeurtenis]:[Vervolggebeurtenis_7]],FCPunten[[#This Row],[Faalpad_ID]],FCPunten[[#This Row],[Knoop_ID]]),"")</f>
        <v>STBI</v>
      </c>
      <c r="D42">
        <v>4</v>
      </c>
      <c r="F42">
        <v>6</v>
      </c>
      <c r="G42">
        <f>IF(FCPunten[[#This Row],[Beta_h]]="","",_xlfn.NORM.S.DIST(-1*FCPunten[[#This Row],[Beta_h]],TRUE))</f>
        <v>9.8658764503769437E-10</v>
      </c>
      <c r="H42" s="13" t="str">
        <f>IF(FCPunten[[#This Row],[Pf_h]]="", "",-_xlfn.NORM.S.INV(FCPunten[[#This Row],[Pf_h]]))</f>
        <v/>
      </c>
    </row>
    <row r="43" spans="1:8" x14ac:dyDescent="0.25">
      <c r="A43">
        <v>3</v>
      </c>
      <c r="B43">
        <v>1</v>
      </c>
      <c r="C43" t="str">
        <f t="array" ref="C43">IF(SUM(FCPunten[[#This Row],[Faalpad_ID]:[Knoop_ID]])&gt;=2,INDEX(FaalpadenGegevenScenario[[Initiele_gebeurtenis]:[Vervolggebeurtenis_7]],FCPunten[[#This Row],[Faalpad_ID]],FCPunten[[#This Row],[Knoop_ID]]),"")</f>
        <v>STBI</v>
      </c>
      <c r="D43">
        <v>5.6</v>
      </c>
      <c r="F43">
        <v>4</v>
      </c>
      <c r="G43">
        <f>IF(FCPunten[[#This Row],[Beta_h]]="","",_xlfn.NORM.S.DIST(-1*FCPunten[[#This Row],[Beta_h]],TRUE))</f>
        <v>3.1671241833119857E-5</v>
      </c>
      <c r="H43" s="13" t="str">
        <f>IF(FCPunten[[#This Row],[Pf_h]]="", "",-_xlfn.NORM.S.INV(FCPunten[[#This Row],[Pf_h]]))</f>
        <v/>
      </c>
    </row>
    <row r="44" spans="1:8" x14ac:dyDescent="0.25">
      <c r="A44">
        <v>3</v>
      </c>
      <c r="B44">
        <v>1</v>
      </c>
      <c r="C44" t="str">
        <f t="array" ref="C44">IF(SUM(FCPunten[[#This Row],[Faalpad_ID]:[Knoop_ID]])&gt;=2,INDEX(FaalpadenGegevenScenario[[Initiele_gebeurtenis]:[Vervolggebeurtenis_7]],FCPunten[[#This Row],[Faalpad_ID]],FCPunten[[#This Row],[Knoop_ID]]),"")</f>
        <v>STBI</v>
      </c>
      <c r="D44">
        <v>6.3</v>
      </c>
      <c r="F44">
        <v>3</v>
      </c>
      <c r="G44">
        <f>IF(FCPunten[[#This Row],[Beta_h]]="","",_xlfn.NORM.S.DIST(-1*FCPunten[[#This Row],[Beta_h]],TRUE))</f>
        <v>1.3498980316300933E-3</v>
      </c>
      <c r="H44" s="13" t="str">
        <f>IF(FCPunten[[#This Row],[Pf_h]]="", "",-_xlfn.NORM.S.INV(FCPunten[[#This Row],[Pf_h]]))</f>
        <v/>
      </c>
    </row>
    <row r="45" spans="1:8" x14ac:dyDescent="0.25">
      <c r="A45">
        <v>3</v>
      </c>
      <c r="B45">
        <v>1</v>
      </c>
      <c r="C45" t="str">
        <f t="array" ref="C45">IF(SUM(FCPunten[[#This Row],[Faalpad_ID]:[Knoop_ID]])&gt;=2,INDEX(FaalpadenGegevenScenario[[Initiele_gebeurtenis]:[Vervolggebeurtenis_7]],FCPunten[[#This Row],[Faalpad_ID]],FCPunten[[#This Row],[Knoop_ID]]),"")</f>
        <v>STBI</v>
      </c>
      <c r="D45">
        <v>7</v>
      </c>
      <c r="F45">
        <v>3</v>
      </c>
      <c r="G45">
        <f>IF(FCPunten[[#This Row],[Beta_h]]="","",_xlfn.NORM.S.DIST(-1*FCPunten[[#This Row],[Beta_h]],TRUE))</f>
        <v>1.3498980316300933E-3</v>
      </c>
      <c r="H45" s="13" t="str">
        <f>IF(FCPunten[[#This Row],[Pf_h]]="", "",-_xlfn.NORM.S.INV(FCPunten[[#This Row],[Pf_h]]))</f>
        <v/>
      </c>
    </row>
    <row r="46" spans="1:8" x14ac:dyDescent="0.25">
      <c r="A46">
        <v>3</v>
      </c>
      <c r="B46">
        <v>2</v>
      </c>
      <c r="C46" t="str">
        <f t="array" ref="C46">IF(SUM(FCPunten[[#This Row],[Faalpad_ID]:[Knoop_ID]])&gt;=2,INDEX(FaalpadenGegevenScenario[[Initiele_gebeurtenis]:[Vervolggebeurtenis_7]],FCPunten[[#This Row],[Faalpad_ID]],FCPunten[[#This Row],[Knoop_ID]]),"")</f>
        <v>Overstroming |STBI geen leidingfalen</v>
      </c>
      <c r="D46">
        <v>1</v>
      </c>
      <c r="E46">
        <v>1</v>
      </c>
      <c r="G46" t="str">
        <f>IF(FCPunten[[#This Row],[Beta_h]]="","",_xlfn.NORM.S.DIST(-1*FCPunten[[#This Row],[Beta_h]],TRUE))</f>
        <v/>
      </c>
      <c r="H46" s="13" t="e">
        <f>IF(FCPunten[[#This Row],[Pf_h]]="", "",-_xlfn.NORM.S.INV(FCPunten[[#This Row],[Pf_h]]))</f>
        <v>#NUM!</v>
      </c>
    </row>
    <row r="47" spans="1:8" x14ac:dyDescent="0.25">
      <c r="A47">
        <v>4</v>
      </c>
      <c r="B47">
        <v>1</v>
      </c>
      <c r="C47" t="str">
        <f t="array" ref="C47">IF(SUM(FCPunten[[#This Row],[Faalpad_ID]:[Knoop_ID]])&gt;=2,INDEX(FaalpadenGegevenScenario[[Initiele_gebeurtenis]:[Vervolggebeurtenis_7]],FCPunten[[#This Row],[Faalpad_ID]],FCPunten[[#This Row],[Knoop_ID]]),"")</f>
        <v>Herstel faalt</v>
      </c>
      <c r="D47">
        <v>1</v>
      </c>
      <c r="E47">
        <v>0.25</v>
      </c>
      <c r="G47" t="str">
        <f>IF(FCPunten[[#This Row],[Beta_h]]="","",_xlfn.NORM.S.DIST(-1*FCPunten[[#This Row],[Beta_h]],TRUE))</f>
        <v/>
      </c>
      <c r="H47" s="13">
        <f>IF(FCPunten[[#This Row],[Pf_h]]="", "",-_xlfn.NORM.S.INV(FCPunten[[#This Row],[Pf_h]]))</f>
        <v>0.67448975019608193</v>
      </c>
    </row>
    <row r="48" spans="1:8" x14ac:dyDescent="0.25">
      <c r="A48">
        <v>4</v>
      </c>
      <c r="B48">
        <v>2</v>
      </c>
      <c r="C48" t="str">
        <f t="array" ref="C48">IF(SUM(FCPunten[[#This Row],[Faalpad_ID]:[Knoop_ID]])&gt;=2,INDEX(FaalpadenGegevenScenario[[Initiele_gebeurtenis]:[Vervolggebeurtenis_7]],FCPunten[[#This Row],[Faalpad_ID]],FCPunten[[#This Row],[Knoop_ID]]),"")</f>
        <v>STBI | leidingfalen</v>
      </c>
      <c r="D48">
        <v>1</v>
      </c>
      <c r="F48">
        <v>8</v>
      </c>
      <c r="G48">
        <f>IF(FCPunten[[#This Row],[Beta_h]]="","",_xlfn.NORM.S.DIST(-1*FCPunten[[#This Row],[Beta_h]],TRUE))</f>
        <v>6.2209605742717375E-16</v>
      </c>
      <c r="H48" s="13" t="str">
        <f>IF(FCPunten[[#This Row],[Pf_h]]="", "",-_xlfn.NORM.S.INV(FCPunten[[#This Row],[Pf_h]]))</f>
        <v/>
      </c>
    </row>
    <row r="49" spans="1:8" x14ac:dyDescent="0.25">
      <c r="A49">
        <v>4</v>
      </c>
      <c r="B49">
        <v>2</v>
      </c>
      <c r="C49" t="str">
        <f t="array" ref="C49">IF(SUM(FCPunten[[#This Row],[Faalpad_ID]:[Knoop_ID]])&gt;=2,INDEX(FaalpadenGegevenScenario[[Initiele_gebeurtenis]:[Vervolggebeurtenis_7]],FCPunten[[#This Row],[Faalpad_ID]],FCPunten[[#This Row],[Knoop_ID]]),"")</f>
        <v>STBI | leidingfalen</v>
      </c>
      <c r="D49">
        <v>1.6</v>
      </c>
      <c r="F49">
        <v>6</v>
      </c>
      <c r="G49">
        <f>IF(FCPunten[[#This Row],[Beta_h]]="","",_xlfn.NORM.S.DIST(-1*FCPunten[[#This Row],[Beta_h]],TRUE))</f>
        <v>9.8658764503769437E-10</v>
      </c>
      <c r="H49" s="13" t="str">
        <f>IF(FCPunten[[#This Row],[Pf_h]]="", "",-_xlfn.NORM.S.INV(FCPunten[[#This Row],[Pf_h]]))</f>
        <v/>
      </c>
    </row>
    <row r="50" spans="1:8" x14ac:dyDescent="0.25">
      <c r="A50">
        <v>4</v>
      </c>
      <c r="B50">
        <v>2</v>
      </c>
      <c r="C50" t="str">
        <f t="array" ref="C50">IF(SUM(FCPunten[[#This Row],[Faalpad_ID]:[Knoop_ID]])&gt;=2,INDEX(FaalpadenGegevenScenario[[Initiele_gebeurtenis]:[Vervolggebeurtenis_7]],FCPunten[[#This Row],[Faalpad_ID]],FCPunten[[#This Row],[Knoop_ID]]),"")</f>
        <v>STBI | leidingfalen</v>
      </c>
      <c r="D50">
        <v>3.2</v>
      </c>
      <c r="F50">
        <v>4</v>
      </c>
      <c r="G50">
        <f>IF(FCPunten[[#This Row],[Beta_h]]="","",_xlfn.NORM.S.DIST(-1*FCPunten[[#This Row],[Beta_h]],TRUE))</f>
        <v>3.1671241833119857E-5</v>
      </c>
      <c r="H50" s="13" t="str">
        <f>IF(FCPunten[[#This Row],[Pf_h]]="", "",-_xlfn.NORM.S.INV(FCPunten[[#This Row],[Pf_h]]))</f>
        <v/>
      </c>
    </row>
    <row r="51" spans="1:8" x14ac:dyDescent="0.25">
      <c r="A51">
        <v>4</v>
      </c>
      <c r="B51">
        <v>2</v>
      </c>
      <c r="C51" t="str">
        <f t="array" ref="C51">IF(SUM(FCPunten[[#This Row],[Faalpad_ID]:[Knoop_ID]])&gt;=2,INDEX(FaalpadenGegevenScenario[[Initiele_gebeurtenis]:[Vervolggebeurtenis_7]],FCPunten[[#This Row],[Faalpad_ID]],FCPunten[[#This Row],[Knoop_ID]]),"")</f>
        <v>STBI | leidingfalen</v>
      </c>
      <c r="D51">
        <v>3.9</v>
      </c>
      <c r="F51">
        <v>3</v>
      </c>
      <c r="G51">
        <f>IF(FCPunten[[#This Row],[Beta_h]]="","",_xlfn.NORM.S.DIST(-1*FCPunten[[#This Row],[Beta_h]],TRUE))</f>
        <v>1.3498980316300933E-3</v>
      </c>
      <c r="H51" s="13" t="str">
        <f>IF(FCPunten[[#This Row],[Pf_h]]="", "",-_xlfn.NORM.S.INV(FCPunten[[#This Row],[Pf_h]]))</f>
        <v/>
      </c>
    </row>
    <row r="52" spans="1:8" x14ac:dyDescent="0.25">
      <c r="A52">
        <v>4</v>
      </c>
      <c r="B52">
        <v>2</v>
      </c>
      <c r="C52" t="str">
        <f t="array" ref="C52">IF(SUM(FCPunten[[#This Row],[Faalpad_ID]:[Knoop_ID]])&gt;=2,INDEX(FaalpadenGegevenScenario[[Initiele_gebeurtenis]:[Vervolggebeurtenis_7]],FCPunten[[#This Row],[Faalpad_ID]],FCPunten[[#This Row],[Knoop_ID]]),"")</f>
        <v>STBI | leidingfalen</v>
      </c>
      <c r="D52">
        <v>4.9000000000000004</v>
      </c>
      <c r="F52">
        <v>3</v>
      </c>
      <c r="G52">
        <f>IF(FCPunten[[#This Row],[Beta_h]]="","",_xlfn.NORM.S.DIST(-1*FCPunten[[#This Row],[Beta_h]],TRUE))</f>
        <v>1.3498980316300933E-3</v>
      </c>
      <c r="H52" s="13" t="str">
        <f>IF(FCPunten[[#This Row],[Pf_h]]="", "",-_xlfn.NORM.S.INV(FCPunten[[#This Row],[Pf_h]]))</f>
        <v/>
      </c>
    </row>
    <row r="53" spans="1:8" x14ac:dyDescent="0.25">
      <c r="A53">
        <v>4</v>
      </c>
      <c r="B53">
        <v>3</v>
      </c>
      <c r="C53" t="str">
        <f t="array" ref="C53">IF(SUM(FCPunten[[#This Row],[Faalpad_ID]:[Knoop_ID]])&gt;=2,INDEX(FaalpadenGegevenScenario[[Initiele_gebeurtenis]:[Vervolggebeurtenis_7]],FCPunten[[#This Row],[Faalpad_ID]],FCPunten[[#This Row],[Knoop_ID]]),"")</f>
        <v>Overstroming |STBI leidingfalen</v>
      </c>
      <c r="D53">
        <v>1</v>
      </c>
      <c r="E53">
        <v>1</v>
      </c>
      <c r="G53" t="str">
        <f>IF(FCPunten[[#This Row],[Beta_h]]="","",_xlfn.NORM.S.DIST(-1*FCPunten[[#This Row],[Beta_h]],TRUE))</f>
        <v/>
      </c>
      <c r="H53" s="13" t="e">
        <f>IF(FCPunten[[#This Row],[Pf_h]]="", "",-_xlfn.NORM.S.INV(FCPunten[[#This Row],[Pf_h]]))</f>
        <v>#NUM!</v>
      </c>
    </row>
    <row r="54" spans="1:8" x14ac:dyDescent="0.25">
      <c r="C54" t="str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3" t="str">
        <f>IF(FCPunten[[#This Row],[Pf_h]]="", "",-_xlfn.NORM.S.INV(FCPunten[[#This Row],[Pf_h]]))</f>
        <v/>
      </c>
    </row>
    <row r="55" spans="1:8" x14ac:dyDescent="0.25">
      <c r="C55" t="str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E55" s="29"/>
      <c r="G55" t="str">
        <f>IF(FCPunten[[#This Row],[Beta_h]]="","",_xlfn.NORM.S.DIST(-1*FCPunten[[#This Row],[Beta_h]],TRUE))</f>
        <v/>
      </c>
      <c r="H55" s="13" t="str">
        <f>IF(FCPunten[[#This Row],[Pf_h]]="", "",-_xlfn.NORM.S.INV(FCPunten[[#This Row],[Pf_h]]))</f>
        <v/>
      </c>
    </row>
    <row r="56" spans="1:8" x14ac:dyDescent="0.25">
      <c r="C56" t="str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3" t="str">
        <f>IF(FCPunten[[#This Row],[Pf_h]]="", "",-_xlfn.NORM.S.INV(FCPunten[[#This Row],[Pf_h]]))</f>
        <v/>
      </c>
    </row>
    <row r="57" spans="1:8" x14ac:dyDescent="0.25">
      <c r="C57" t="str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3" t="str">
        <f>IF(FCPunten[[#This Row],[Pf_h]]="", "",-_xlfn.NORM.S.INV(FCPunten[[#This Row],[Pf_h]]))</f>
        <v/>
      </c>
    </row>
    <row r="58" spans="1:8" x14ac:dyDescent="0.25">
      <c r="C58" t="str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3" t="str">
        <f>IF(FCPunten[[#This Row],[Pf_h]]="", "",-_xlfn.NORM.S.INV(FCPunten[[#This Row],[Pf_h]]))</f>
        <v/>
      </c>
    </row>
    <row r="59" spans="1:8" x14ac:dyDescent="0.25">
      <c r="C59" t="str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3" t="str">
        <f>IF(FCPunten[[#This Row],[Pf_h]]="", "",-_xlfn.NORM.S.INV(FCPunten[[#This Row],[Pf_h]]))</f>
        <v/>
      </c>
    </row>
    <row r="60" spans="1:8" x14ac:dyDescent="0.25">
      <c r="C60" t="str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3" t="str">
        <f>IF(FCPunten[[#This Row],[Pf_h]]="", "",-_xlfn.NORM.S.INV(FCPunten[[#This Row],[Pf_h]]))</f>
        <v/>
      </c>
    </row>
  </sheetData>
  <mergeCells count="3">
    <mergeCell ref="A4:B4"/>
    <mergeCell ref="A24:B24"/>
    <mergeCell ref="A11:B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>
        <v>1</v>
      </c>
      <c r="B2" s="14">
        <v>1E-4</v>
      </c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4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FP_leiding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2026-08-18T08:07:30Z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