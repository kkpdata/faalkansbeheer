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"/>
    </mc:Choice>
  </mc:AlternateContent>
  <xr:revisionPtr revIDLastSave="0" documentId="13_ncr:1_{2D06E21B-D7CD-40A1-AFFB-9BD6AE32BF37}" xr6:coauthVersionLast="47" xr6:coauthVersionMax="47" xr10:uidLastSave="{00000000-0000-0000-0000-000000000000}"/>
  <bookViews>
    <workbookView xWindow="-120" yWindow="-120" windowWidth="29040" windowHeight="15720" xr2:uid="{AD979432-8D0D-462C-972B-AB828F23136F}"/>
  </bookViews>
  <sheets>
    <sheet name="scenario1" sheetId="1" r:id="rId1"/>
    <sheet name="FP_overslag" sheetId="2" r:id="rId2"/>
    <sheet name="FP_dierlijkegraverij" sheetId="3" r:id="rId3"/>
    <sheet name="hfeq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G46" i="1"/>
  <c r="H45" i="1"/>
  <c r="G45" i="1"/>
  <c r="H37" i="1"/>
  <c r="H38" i="1"/>
  <c r="H39" i="1"/>
  <c r="H40" i="1"/>
  <c r="H41" i="1"/>
  <c r="H42" i="1"/>
  <c r="H26" i="1"/>
  <c r="H27" i="1"/>
  <c r="H28" i="1"/>
  <c r="H29" i="1"/>
  <c r="H30" i="1"/>
  <c r="H31" i="1"/>
  <c r="H32" i="1"/>
  <c r="H33" i="1"/>
  <c r="H34" i="1"/>
  <c r="H35" i="1"/>
  <c r="H36" i="1"/>
  <c r="H43" i="1"/>
  <c r="H44" i="1"/>
  <c r="H51" i="1"/>
  <c r="H52" i="1"/>
  <c r="H53" i="1"/>
  <c r="H54" i="1"/>
  <c r="H55" i="1"/>
  <c r="H56" i="1"/>
  <c r="H57" i="1"/>
  <c r="H58" i="1"/>
  <c r="H59" i="1"/>
  <c r="H60" i="1"/>
  <c r="B4" i="3"/>
  <c r="B5" i="3"/>
  <c r="C46" i="1" l="1" a="1"/>
  <c r="C4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33" i="1" a="1"/>
  <c r="C33" i="1" s="1"/>
  <c r="C34" i="1" a="1"/>
  <c r="C34" i="1" s="1"/>
  <c r="C35" i="1" a="1"/>
  <c r="C35" i="1" s="1"/>
  <c r="C36" i="1" a="1"/>
  <c r="C3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26" i="1" a="1"/>
  <c r="C26" i="1" s="1"/>
  <c r="C58" i="1" a="1"/>
  <c r="C58" i="1" s="1"/>
  <c r="C59" i="1" a="1"/>
  <c r="C59" i="1" s="1"/>
  <c r="C60" i="1" a="1"/>
  <c r="C60" i="1" s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51" i="1"/>
  <c r="G52" i="1"/>
  <c r="G53" i="1"/>
  <c r="G54" i="1"/>
  <c r="G55" i="1"/>
  <c r="G56" i="1"/>
  <c r="G57" i="1"/>
  <c r="G58" i="1"/>
  <c r="G59" i="1"/>
  <c r="G60" i="1"/>
  <c r="G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<sst xmlns="http://schemas.openxmlformats.org/spreadsheetml/2006/main" count="65" uniqueCount="51">
  <si>
    <t>Template: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</si>
  <si>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</si>
  <si>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</si>
  <si>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</si>
  <si>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</si>
  <si>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</si>
  <si>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</si>
  <si>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</si>
  <si>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</si>
  <si>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</si>
  <si>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</si>
  <si>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</si>
  <si>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</si>
  <si>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</si>
  <si>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Knoop_ID</t>
  </si>
  <si>
    <t>Overslag</t>
  </si>
  <si>
    <t>nee</t>
  </si>
  <si>
    <t>h</t>
  </si>
  <si>
    <t>of Pf|h of Beta|h invullen</t>
  </si>
  <si>
    <t>Berekening / controle</t>
  </si>
  <si>
    <t>Faalpad_ID</t>
  </si>
  <si>
    <t>Gebeurtenis_naam</t>
  </si>
  <si>
    <t>Pf uit Beta</t>
  </si>
  <si>
    <t>Beta uit Pf</t>
  </si>
  <si>
    <t>Metadata</t>
  </si>
  <si>
    <t>Faalpadkansen</t>
  </si>
  <si>
    <t>scenario1</t>
  </si>
  <si>
    <t>test</t>
  </si>
  <si>
    <t>groene_kering</t>
  </si>
  <si>
    <t>hr01</t>
  </si>
  <si>
    <t>Indirect_mechanisme</t>
  </si>
  <si>
    <t>Initiele_gebeurtenis</t>
  </si>
  <si>
    <t>Vervolggebeurtenis_2</t>
  </si>
  <si>
    <t>Vervolggebeurtenis_1</t>
  </si>
  <si>
    <t>Vervolggebeurtenis_3</t>
  </si>
  <si>
    <t>Vervolggebeurtenis_4</t>
  </si>
  <si>
    <t>Vervolggebeurtenis_5</t>
  </si>
  <si>
    <t>Vervolggebeurtenis_6</t>
  </si>
  <si>
    <t>Vervolggebeurtenis_7</t>
  </si>
  <si>
    <t>Pf_h</t>
  </si>
  <si>
    <t>Beta_h</t>
  </si>
  <si>
    <t>Faalpadschema</t>
  </si>
  <si>
    <t>ja</t>
  </si>
  <si>
    <t>kortsluiting</t>
  </si>
  <si>
    <t>kruindaling door stabiliteitsverlies</t>
  </si>
  <si>
    <t>kruindaling door stabiliteitsverlies|DIERLIJKE GRAVERIJ</t>
  </si>
  <si>
    <t>kruindaling door stabiliteitsverlies | OVERSLAG</t>
  </si>
  <si>
    <t>kruindaling door stabiliteitsverlies | OVERSLAG EN DIERLIJKE GRAVERIJ</t>
  </si>
  <si>
    <t>Voorbeeld overslag en dierlijke graverij</t>
  </si>
  <si>
    <t>PDF</t>
  </si>
  <si>
    <t>dierlijkegraverij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</si>
</sst>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4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2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2" fillId="2" borderId="2" xfId="2" applyAlignment="1">
      <alignment horizontal="center" vertical="center" wrapText="1"/>
    </xf>
    <xf numFmtId="0" fontId="4" fillId="5" borderId="1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3">
    <cellStyle name="Invoer" xfId="2" builtinId="20"/>
    <cellStyle name="Kop 1" xfId="1" builtinId="16"/>
    <cellStyle name="Standaard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91146-E96B-4716-BE45-053EEC2F2E2D}" name="FaalpadenGegevenScenario" displayName="FaalpadenGegevenScenario" ref="A12:K20" totalsRowShown="0" headerRowDxfId="10" dataDxfId="9">
  <autoFilter ref="A12:K20" xr:uid="{2FC91146-E96B-4716-BE45-053EEC2F2E2D}"/>
  <tableColumns count="11">
    <tableColumn id="1" xr3:uid="{74C1F1E8-DAD6-4B2C-9543-F6F1A1835751}" name="Faalpad_ID" dataDxfId="8"/>
    <tableColumn id="2" xr3:uid="{562B602A-D065-4766-B682-77EE4582DBC6}" name="Overslag"/>
    <tableColumn id="3" xr3:uid="{75BC9CE4-719D-425A-966F-23AB491AB455}" name="Indirect_mechanisme"/>
    <tableColumn id="4" xr3:uid="{7CCE59A5-AC15-497C-97BE-DCE37155ED74}" name="Initiele_gebeurtenis" dataDxfId="7"/>
    <tableColumn id="5" xr3:uid="{0758C2A8-3B00-4C3E-AB6F-43F0B283C256}" name="Vervolggebeurtenis_1" dataDxfId="6"/>
    <tableColumn id="6" xr3:uid="{88181758-A771-4811-B4D8-A90B0ED7EDF7}" name="Vervolggebeurtenis_2" dataDxfId="5"/>
    <tableColumn id="7" xr3:uid="{D9FF46D3-291A-440E-A199-DF9DED13CBFC}" name="Vervolggebeurtenis_3" dataDxfId="4"/>
    <tableColumn id="8" xr3:uid="{1D4E824A-E4C6-4265-A169-D49C4A5EC9AF}" name="Vervolggebeurtenis_4" dataDxfId="3"/>
    <tableColumn id="9" xr3:uid="{C368E4F2-CEC9-4911-8923-9F9BA2174CEF}" name="Vervolggebeurtenis_5" dataDxfId="2"/>
    <tableColumn id="10" xr3:uid="{CA379130-9765-4681-A388-B44689C08520}" name="Vervolggebeurtenis_6" dataDxfId="1"/>
    <tableColumn id="11" xr3:uid="{982B820E-7176-428C-8ADF-A8C3BEA032F8}" name="Vervolggebeurtenis_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0B7921-7D66-4250-A1D1-08B54A97C7CE}" name="FCPunten" displayName="FCPunten" ref="A25:H60" totalsRowShown="0">
  <autoFilter ref="A25:H60" xr:uid="{050B7921-7D66-4250-A1D1-08B54A97C7CE}"/>
  <tableColumns count="8">
    <tableColumn id="1" xr3:uid="{AD1BE175-DC04-421D-9759-BF085DBEE115}" name="Faalpad_ID"/>
    <tableColumn id="2" xr3:uid="{7DE1B7D0-ABF1-4D79-A45A-4118EFE50A33}" name="Knoop_ID"/>
    <tableColumn id="3" xr3:uid="{8213DBAC-51CB-419E-93E9-A71EAC48A9A7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72A8801D-707E-4789-A501-E4253EDCD0DB}" name="h"/>
    <tableColumn id="5" xr3:uid="{EE09B940-6A75-47D3-A76A-05C3D1A0EE8B}" name="Pf_h"/>
    <tableColumn id="6" xr3:uid="{B6B4A0C9-16F1-4156-8DF1-DE968A6BAA9D}" name="Beta_h"/>
    <tableColumn id="7" xr3:uid="{27CFCDB6-9938-43CC-B1F0-72A842A8FD53}" name="Pf uit Beta">
      <calculatedColumnFormula>IF(FCPunten[[#This Row],[Beta_h]]="","",_xlfn.NORM.S.DIST(-1*FCPunten[[#This Row],[Beta_h]],TRUE))</calculatedColumnFormula>
    </tableColumn>
    <tableColumn id="8" xr3:uid="{C0440ADD-4F72-4291-AFC4-B70E9BA537DE}" name="Beta uit Pf">
      <calculatedColumnFormula>IF(FCPunten[[#This Row],[Pf_h]]="", "",-_xlfn.NORM.S.INV(FCPunten[[#This Row],[Pf_h]]))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6C6F-F461-456A-80C1-D38C6F61A2F7}">
  <dimension ref="A1:M60"/>
  <sheetViews>
    <sheetView tabSelected="1" topLeftCell="A6" zoomScale="115" zoomScaleNormal="115" workbookViewId="0">
      <selection activeCell="D15" sqref="D15"/>
    </sheetView>
  </sheetViews>
  <sheetFormatPr defaultRowHeight="15" x14ac:dyDescent="0.25"/>
  <cols>
    <col min="1" max="1" width="13.5703125" bestFit="1" customWidth="1"/>
    <col min="2" max="2" width="17.140625" customWidth="1"/>
    <col min="3" max="3" width="30.28515625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3" ht="20.25" thickBot="1" x14ac:dyDescent="0.35">
      <c r="A1" s="1" t="s">
        <v>0</v>
      </c>
      <c r="B1" s="1" t="s">
        <v>48</v>
      </c>
    </row>
    <row r="2" spans="1:13" ht="15.75" thickTop="1" x14ac:dyDescent="0.25"/>
    <row r="4" spans="1:13" x14ac:dyDescent="0.25">
      <c r="A4" s="22" t="s">
        <v>24</v>
      </c>
      <c r="B4" s="22"/>
    </row>
    <row r="5" spans="1:13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4" t="s">
        <v>13</v>
      </c>
    </row>
    <row r="6" spans="1:13" x14ac:dyDescent="0.25">
      <c r="A6" s="5"/>
      <c r="B6" s="6"/>
      <c r="C6" s="6"/>
      <c r="D6" s="6">
        <v>1</v>
      </c>
      <c r="E6" s="6" t="s">
        <v>27</v>
      </c>
      <c r="F6" s="6">
        <v>100</v>
      </c>
      <c r="G6" s="6" t="s">
        <v>28</v>
      </c>
      <c r="H6" s="6" t="s">
        <v>28</v>
      </c>
      <c r="I6" s="6" t="s">
        <v>26</v>
      </c>
      <c r="J6" s="7">
        <v>0.1</v>
      </c>
      <c r="K6" s="7"/>
      <c r="L6" s="7"/>
      <c r="M6" s="8" t="s">
        <v>29</v>
      </c>
    </row>
    <row r="11" spans="1:13" x14ac:dyDescent="0.25">
      <c r="A11" s="23" t="s">
        <v>41</v>
      </c>
      <c r="B11" s="23"/>
      <c r="C11" t="s">
        <v>14</v>
      </c>
      <c r="D11" s="9">
        <v>1</v>
      </c>
      <c r="E11" s="9">
        <v>2</v>
      </c>
      <c r="F11" s="9">
        <v>3</v>
      </c>
      <c r="G11" s="9">
        <v>4</v>
      </c>
      <c r="H11" s="9">
        <v>5</v>
      </c>
      <c r="I11" s="9">
        <v>6</v>
      </c>
      <c r="J11" s="9">
        <v>7</v>
      </c>
      <c r="K11" s="9">
        <v>8</v>
      </c>
    </row>
    <row r="12" spans="1:13" ht="30" x14ac:dyDescent="0.25">
      <c r="A12" t="s">
        <v>20</v>
      </c>
      <c r="B12" t="s">
        <v>15</v>
      </c>
      <c r="C12" t="s">
        <v>30</v>
      </c>
      <c r="D12" s="10" t="s">
        <v>31</v>
      </c>
      <c r="E12" s="10" t="s">
        <v>33</v>
      </c>
      <c r="F12" s="10" t="s">
        <v>32</v>
      </c>
      <c r="G12" s="10" t="s">
        <v>34</v>
      </c>
      <c r="H12" s="10" t="s">
        <v>35</v>
      </c>
      <c r="I12" s="10" t="s">
        <v>36</v>
      </c>
      <c r="J12" s="10" t="s">
        <v>37</v>
      </c>
      <c r="K12" s="10" t="s">
        <v>38</v>
      </c>
    </row>
    <row r="13" spans="1:13" ht="45" x14ac:dyDescent="0.25">
      <c r="A13" s="9">
        <v>1</v>
      </c>
      <c r="B13" t="s">
        <v>16</v>
      </c>
      <c r="C13" t="s">
        <v>16</v>
      </c>
      <c r="D13" s="10" t="s">
        <v>44</v>
      </c>
      <c r="E13" s="10"/>
      <c r="F13" s="10"/>
      <c r="G13" s="10"/>
      <c r="H13" s="10"/>
      <c r="I13" s="10"/>
      <c r="J13" s="10"/>
      <c r="K13" s="10"/>
    </row>
    <row r="14" spans="1:13" ht="60" x14ac:dyDescent="0.25">
      <c r="A14" s="9">
        <v>2</v>
      </c>
      <c r="B14" t="s">
        <v>16</v>
      </c>
      <c r="C14" t="s">
        <v>50</v>
      </c>
      <c r="D14" s="10" t="s">
        <v>43</v>
      </c>
      <c r="E14" s="10" t="s">
        <v>45</v>
      </c>
      <c r="F14" s="10"/>
      <c r="G14" s="10"/>
      <c r="H14" s="10"/>
      <c r="I14" s="10"/>
      <c r="J14" s="10"/>
      <c r="K14" s="10"/>
    </row>
    <row r="15" spans="1:13" ht="45" x14ac:dyDescent="0.25">
      <c r="A15" s="9">
        <v>3</v>
      </c>
      <c r="B15" t="s">
        <v>42</v>
      </c>
      <c r="C15" t="s">
        <v>16</v>
      </c>
      <c r="D15" s="10" t="s">
        <v>46</v>
      </c>
      <c r="E15" s="10"/>
      <c r="F15" s="10"/>
      <c r="G15" s="10"/>
      <c r="H15" s="10"/>
      <c r="I15" s="10"/>
      <c r="J15" s="10"/>
      <c r="K15" s="10"/>
    </row>
    <row r="16" spans="1:13" ht="75" x14ac:dyDescent="0.25">
      <c r="A16" s="9">
        <v>4</v>
      </c>
      <c r="B16" t="s">
        <v>42</v>
      </c>
      <c r="C16" t="s">
        <v>50</v>
      </c>
      <c r="D16" s="10" t="s">
        <v>43</v>
      </c>
      <c r="E16" s="10" t="s">
        <v>47</v>
      </c>
      <c r="F16" s="10"/>
      <c r="G16" s="10"/>
      <c r="H16" s="10"/>
      <c r="I16" s="10"/>
      <c r="J16" s="10"/>
      <c r="K16" s="10"/>
    </row>
    <row r="17" spans="1:11" x14ac:dyDescent="0.25">
      <c r="A17" s="9">
        <v>5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9">
        <v>6</v>
      </c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9">
        <v>7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9">
        <v>8</v>
      </c>
      <c r="D20" s="10"/>
      <c r="E20" s="10"/>
      <c r="F20" s="10"/>
      <c r="G20" s="10"/>
      <c r="H20" s="10"/>
      <c r="I20" s="10"/>
      <c r="J20" s="10"/>
      <c r="K20" s="10"/>
    </row>
    <row r="24" spans="1:11" x14ac:dyDescent="0.25">
      <c r="A24" s="23" t="s">
        <v>25</v>
      </c>
      <c r="B24" s="23"/>
      <c r="E24" t="s">
        <v>18</v>
      </c>
      <c r="G24" t="s">
        <v>19</v>
      </c>
    </row>
    <row r="25" spans="1:11" x14ac:dyDescent="0.25">
      <c r="A25" t="s">
        <v>20</v>
      </c>
      <c r="B25" t="s">
        <v>14</v>
      </c>
      <c r="C25" t="s">
        <v>21</v>
      </c>
      <c r="D25" t="s">
        <v>17</v>
      </c>
      <c r="E25" t="s">
        <v>39</v>
      </c>
      <c r="F25" t="s">
        <v>40</v>
      </c>
      <c r="G25" t="s">
        <v>22</v>
      </c>
      <c r="H25" t="s">
        <v>23</v>
      </c>
    </row>
    <row r="26" spans="1:11" ht="30" x14ac:dyDescent="0.25">
      <c r="A26">
        <v>1</v>
      </c>
      <c r="B26">
        <v>1</v>
      </c>
      <c r="C26" s="10" t="str" cm="1">
        <f t="array" ref="C26">IF(SUM(FCPunten[[#This Row],[Faalpad_ID]:[Knoop_ID]])&gt;=2,INDEX(FaalpadenGegevenScenario[[Initiele_gebeurtenis]:[Vervolggebeurtenis_7]],FCPunten[[#This Row],[Faalpad_ID]],FCPunten[[#This Row],[Knoop_ID]]),"")</f>
        <v>kruindaling door stabiliteitsverlies</v>
      </c>
      <c r="D26">
        <v>0</v>
      </c>
      <c r="F26" s="19">
        <v>9.34</v>
      </c>
      <c r="G26">
        <f>IF(FCPunten[[#This Row],[Beta_h]]="","",_xlfn.NORM.S.DIST(-1*FCPunten[[#This Row],[Beta_h]],TRUE))</f>
        <v>4.8167059080290105E-21</v>
      </c>
      <c r="H26" s="17" t="str">
        <f>IF(FCPunten[[#This Row],[Pf_h]]="", "",-_xlfn.NORM.S.INV(FCPunten[[#This Row],[Pf_h]]))</f>
        <v/>
      </c>
    </row>
    <row r="27" spans="1:11" ht="30" x14ac:dyDescent="0.25">
      <c r="A27">
        <v>1</v>
      </c>
      <c r="B27">
        <v>1</v>
      </c>
      <c r="C27" s="10" t="str" cm="1">
        <f t="array" ref="C27">IF(SUM(FCPunten[[#This Row],[Faalpad_ID]:[Knoop_ID]])&gt;=2,INDEX(FaalpadenGegevenScenario[[Initiele_gebeurtenis]:[Vervolggebeurtenis_7]],FCPunten[[#This Row],[Faalpad_ID]],FCPunten[[#This Row],[Knoop_ID]]),"")</f>
        <v>kruindaling door stabiliteitsverlies</v>
      </c>
      <c r="D27">
        <v>4.6900000000000004</v>
      </c>
      <c r="F27" s="19">
        <v>9.34</v>
      </c>
      <c r="G27">
        <f>IF(FCPunten[[#This Row],[Beta_h]]="","",_xlfn.NORM.S.DIST(-1*FCPunten[[#This Row],[Beta_h]],TRUE))</f>
        <v>4.8167059080290105E-21</v>
      </c>
      <c r="H27" s="17" t="str">
        <f>IF(FCPunten[[#This Row],[Pf_h]]="", "",-_xlfn.NORM.S.INV(FCPunten[[#This Row],[Pf_h]]))</f>
        <v/>
      </c>
    </row>
    <row r="28" spans="1:11" ht="30" x14ac:dyDescent="0.25">
      <c r="A28">
        <v>1</v>
      </c>
      <c r="B28">
        <v>1</v>
      </c>
      <c r="C28" s="10" t="str" cm="1">
        <f t="array" ref="C28">IF(SUM(FCPunten[[#This Row],[Faalpad_ID]:[Knoop_ID]])&gt;=2,INDEX(FaalpadenGegevenScenario[[Initiele_gebeurtenis]:[Vervolggebeurtenis_7]],FCPunten[[#This Row],[Faalpad_ID]],FCPunten[[#This Row],[Knoop_ID]]),"")</f>
        <v>kruindaling door stabiliteitsverlies</v>
      </c>
      <c r="D28">
        <v>7.35</v>
      </c>
      <c r="F28" s="19">
        <v>7.63</v>
      </c>
      <c r="G28">
        <f>IF(FCPunten[[#This Row],[Beta_h]]="","",_xlfn.NORM.S.DIST(-1*FCPunten[[#This Row],[Beta_h]],TRUE))</f>
        <v>1.1737685603671561E-14</v>
      </c>
      <c r="H28" s="17" t="str">
        <f>IF(FCPunten[[#This Row],[Pf_h]]="", "",-_xlfn.NORM.S.INV(FCPunten[[#This Row],[Pf_h]]))</f>
        <v/>
      </c>
    </row>
    <row r="29" spans="1:11" ht="30" x14ac:dyDescent="0.25">
      <c r="A29">
        <v>1</v>
      </c>
      <c r="B29">
        <v>1</v>
      </c>
      <c r="C29" s="10" t="str" cm="1">
        <f t="array" ref="C29">IF(SUM(FCPunten[[#This Row],[Faalpad_ID]:[Knoop_ID]])&gt;=2,INDEX(FaalpadenGegevenScenario[[Initiele_gebeurtenis]:[Vervolggebeurtenis_7]],FCPunten[[#This Row],[Faalpad_ID]],FCPunten[[#This Row],[Knoop_ID]]),"")</f>
        <v>kruindaling door stabiliteitsverlies</v>
      </c>
      <c r="D29">
        <v>8.92</v>
      </c>
      <c r="F29" s="19">
        <v>6.59</v>
      </c>
      <c r="G29">
        <f>IF(FCPunten[[#This Row],[Beta_h]]="","",_xlfn.NORM.S.DIST(-1*FCPunten[[#This Row],[Beta_h]],TRUE))</f>
        <v>2.1991328804642468E-11</v>
      </c>
      <c r="H29" s="17" t="str">
        <f>IF(FCPunten[[#This Row],[Pf_h]]="", "",-_xlfn.NORM.S.INV(FCPunten[[#This Row],[Pf_h]]))</f>
        <v/>
      </c>
    </row>
    <row r="30" spans="1:11" ht="30" x14ac:dyDescent="0.25">
      <c r="A30">
        <v>1</v>
      </c>
      <c r="B30">
        <v>1</v>
      </c>
      <c r="C30" s="10" t="str" cm="1">
        <f t="array" ref="C30">IF(SUM(FCPunten[[#This Row],[Faalpad_ID]:[Knoop_ID]])&gt;=2,INDEX(FaalpadenGegevenScenario[[Initiele_gebeurtenis]:[Vervolggebeurtenis_7]],FCPunten[[#This Row],[Faalpad_ID]],FCPunten[[#This Row],[Knoop_ID]]),"")</f>
        <v>kruindaling door stabiliteitsverlies</v>
      </c>
      <c r="D30">
        <v>12.26</v>
      </c>
      <c r="F30" s="19">
        <v>5.03</v>
      </c>
      <c r="G30">
        <f>IF(FCPunten[[#This Row],[Beta_h]]="","",_xlfn.NORM.S.DIST(-1*FCPunten[[#This Row],[Beta_h]],TRUE))</f>
        <v>2.4523991806536973E-7</v>
      </c>
      <c r="H30" s="17" t="str">
        <f>IF(FCPunten[[#This Row],[Pf_h]]="", "",-_xlfn.NORM.S.INV(FCPunten[[#This Row],[Pf_h]]))</f>
        <v/>
      </c>
    </row>
    <row r="31" spans="1:11" ht="30" x14ac:dyDescent="0.25">
      <c r="A31">
        <v>1</v>
      </c>
      <c r="B31">
        <v>1</v>
      </c>
      <c r="C31" s="10" t="str" cm="1">
        <f t="array" ref="C31">IF(SUM(FCPunten[[#This Row],[Faalpad_ID]:[Knoop_ID]])&gt;=2,INDEX(FaalpadenGegevenScenario[[Initiele_gebeurtenis]:[Vervolggebeurtenis_7]],FCPunten[[#This Row],[Faalpad_ID]],FCPunten[[#This Row],[Knoop_ID]]),"")</f>
        <v>kruindaling door stabiliteitsverlies</v>
      </c>
      <c r="D31">
        <v>12.55</v>
      </c>
      <c r="F31" s="19">
        <v>4.8499999999999996</v>
      </c>
      <c r="G31">
        <f>IF(FCPunten[[#This Row],[Beta_h]]="","",_xlfn.NORM.S.DIST(-1*FCPunten[[#This Row],[Beta_h]],TRUE))</f>
        <v>6.1730737200919715E-7</v>
      </c>
      <c r="H31" s="17" t="str">
        <f>IF(FCPunten[[#This Row],[Pf_h]]="", "",-_xlfn.NORM.S.INV(FCPunten[[#This Row],[Pf_h]]))</f>
        <v/>
      </c>
    </row>
    <row r="32" spans="1:11" ht="30" x14ac:dyDescent="0.25">
      <c r="A32">
        <v>1</v>
      </c>
      <c r="B32">
        <v>1</v>
      </c>
      <c r="C32" s="10" t="str" cm="1">
        <f t="array" ref="C32">IF(SUM(FCPunten[[#This Row],[Faalpad_ID]:[Knoop_ID]])&gt;=2,INDEX(FaalpadenGegevenScenario[[Initiele_gebeurtenis]:[Vervolggebeurtenis_7]],FCPunten[[#This Row],[Faalpad_ID]],FCPunten[[#This Row],[Knoop_ID]]),"")</f>
        <v>kruindaling door stabiliteitsverlies</v>
      </c>
      <c r="D32">
        <v>20</v>
      </c>
      <c r="F32" s="19">
        <v>0.22586206896551708</v>
      </c>
      <c r="G32">
        <f>IF(FCPunten[[#This Row],[Beta_h]]="","",_xlfn.NORM.S.DIST(-1*FCPunten[[#This Row],[Beta_h]],TRUE))</f>
        <v>0.41065435004605966</v>
      </c>
      <c r="H32" s="17" t="str">
        <f>IF(FCPunten[[#This Row],[Pf_h]]="", "",-_xlfn.NORM.S.INV(FCPunten[[#This Row],[Pf_h]]))</f>
        <v/>
      </c>
    </row>
    <row r="33" spans="1:8" x14ac:dyDescent="0.25">
      <c r="A33">
        <v>2</v>
      </c>
      <c r="B33">
        <v>1</v>
      </c>
      <c r="C33" s="10" t="str" cm="1">
        <f t="array" ref="C33">IF(SUM(FCPunten[[#This Row],[Faalpad_ID]:[Knoop_ID]])&gt;=2,INDEX(FaalpadenGegevenScenario[[Initiele_gebeurtenis]:[Vervolggebeurtenis_7]],FCPunten[[#This Row],[Faalpad_ID]],FCPunten[[#This Row],[Knoop_ID]]),"")</f>
        <v>kortsluiting</v>
      </c>
      <c r="D33">
        <v>4</v>
      </c>
      <c r="E33">
        <v>1E-3</v>
      </c>
      <c r="G33" t="str">
        <f>IF(FCPunten[[#This Row],[Beta_h]]="","",_xlfn.NORM.S.DIST(-1*FCPunten[[#This Row],[Beta_h]],TRUE))</f>
        <v/>
      </c>
      <c r="H33" s="17">
        <f>IF(FCPunten[[#This Row],[Pf_h]]="", "",-_xlfn.NORM.S.INV(FCPunten[[#This Row],[Pf_h]]))</f>
        <v>3.0902323061678132</v>
      </c>
    </row>
    <row r="34" spans="1:8" x14ac:dyDescent="0.25">
      <c r="A34">
        <v>2</v>
      </c>
      <c r="B34">
        <v>1</v>
      </c>
      <c r="C34" s="10" t="str" cm="1">
        <f t="array" ref="C34">IF(SUM(FCPunten[[#This Row],[Faalpad_ID]:[Knoop_ID]])&gt;=2,INDEX(FaalpadenGegevenScenario[[Initiele_gebeurtenis]:[Vervolggebeurtenis_7]],FCPunten[[#This Row],[Faalpad_ID]],FCPunten[[#This Row],[Knoop_ID]]),"")</f>
        <v>kortsluiting</v>
      </c>
      <c r="D34">
        <v>12.55</v>
      </c>
      <c r="E34">
        <v>0.5</v>
      </c>
      <c r="G34" t="str">
        <f>IF(FCPunten[[#This Row],[Beta_h]]="","",_xlfn.NORM.S.DIST(-1*FCPunten[[#This Row],[Beta_h]],TRUE))</f>
        <v/>
      </c>
      <c r="H34" s="17">
        <f>IF(FCPunten[[#This Row],[Pf_h]]="", "",-_xlfn.NORM.S.INV(FCPunten[[#This Row],[Pf_h]]))</f>
        <v>0</v>
      </c>
    </row>
    <row r="35" spans="1:8" x14ac:dyDescent="0.25">
      <c r="A35">
        <v>4</v>
      </c>
      <c r="B35">
        <v>1</v>
      </c>
      <c r="C35" s="10" t="str" cm="1">
        <f t="array" ref="C35">IF(SUM(FCPunten[[#This Row],[Faalpad_ID]:[Knoop_ID]])&gt;=2,INDEX(FaalpadenGegevenScenario[[Initiele_gebeurtenis]:[Vervolggebeurtenis_7]],FCPunten[[#This Row],[Faalpad_ID]],FCPunten[[#This Row],[Knoop_ID]]),"")</f>
        <v>kortsluiting</v>
      </c>
      <c r="D35">
        <v>4</v>
      </c>
      <c r="E35">
        <v>1E-3</v>
      </c>
      <c r="G35" t="str">
        <f>IF(FCPunten[[#This Row],[Beta_h]]="","",_xlfn.NORM.S.DIST(-1*FCPunten[[#This Row],[Beta_h]],TRUE))</f>
        <v/>
      </c>
      <c r="H35" s="17">
        <f>IF(FCPunten[[#This Row],[Pf_h]]="", "",-_xlfn.NORM.S.INV(FCPunten[[#This Row],[Pf_h]]))</f>
        <v>3.0902323061678132</v>
      </c>
    </row>
    <row r="36" spans="1:8" x14ac:dyDescent="0.25">
      <c r="A36">
        <v>4</v>
      </c>
      <c r="B36">
        <v>1</v>
      </c>
      <c r="C36" s="10" t="str" cm="1">
        <f t="array" ref="C36">IF(SUM(FCPunten[[#This Row],[Faalpad_ID]:[Knoop_ID]])&gt;=2,INDEX(FaalpadenGegevenScenario[[Initiele_gebeurtenis]:[Vervolggebeurtenis_7]],FCPunten[[#This Row],[Faalpad_ID]],FCPunten[[#This Row],[Knoop_ID]]),"")</f>
        <v>kortsluiting</v>
      </c>
      <c r="D36">
        <v>12.55</v>
      </c>
      <c r="E36">
        <v>0.5</v>
      </c>
      <c r="G36" t="str">
        <f>IF(FCPunten[[#This Row],[Beta_h]]="","",_xlfn.NORM.S.DIST(-1*FCPunten[[#This Row],[Beta_h]],TRUE))</f>
        <v/>
      </c>
      <c r="H36" s="17">
        <f>IF(FCPunten[[#This Row],[Pf_h]]="", "",-_xlfn.NORM.S.INV(FCPunten[[#This Row],[Pf_h]]))</f>
        <v>0</v>
      </c>
    </row>
    <row r="37" spans="1:8" ht="45" x14ac:dyDescent="0.25">
      <c r="A37">
        <v>2</v>
      </c>
      <c r="B37">
        <v>2</v>
      </c>
      <c r="C37" s="10" t="str" cm="1">
        <f t="array" ref="C37">IF(SUM(FCPunten[[#This Row],[Faalpad_ID]:[Knoop_ID]])&gt;=2,INDEX(FaalpadenGegevenScenario[[Initiele_gebeurtenis]:[Vervolggebeurtenis_7]],FCPunten[[#This Row],[Faalpad_ID]],FCPunten[[#This Row],[Knoop_ID]]),"")</f>
        <v>kruindaling door stabiliteitsverlies|DIERLIJKE GRAVERIJ</v>
      </c>
      <c r="D37">
        <v>0</v>
      </c>
      <c r="E37" s="20">
        <v>4.8167059080290106E-18</v>
      </c>
      <c r="G37" t="str">
        <f>IF(FCPunten[[#This Row],[Beta_h]]="","",_xlfn.NORM.S.DIST(-1*FCPunten[[#This Row],[Beta_h]],TRUE))</f>
        <v/>
      </c>
      <c r="H37" s="17">
        <f>IF(FCPunten[[#This Row],[Pf_h]]="", "",-_xlfn.NORM.S.INV(FCPunten[[#This Row],[Pf_h]]))</f>
        <v>8.5782419864155184</v>
      </c>
    </row>
    <row r="38" spans="1:8" ht="45" x14ac:dyDescent="0.25">
      <c r="A38">
        <v>2</v>
      </c>
      <c r="B38">
        <v>2</v>
      </c>
      <c r="C38" s="10" t="str" cm="1">
        <f t="array" ref="C38">IF(SUM(FCPunten[[#This Row],[Faalpad_ID]:[Knoop_ID]])&gt;=2,INDEX(FaalpadenGegevenScenario[[Initiele_gebeurtenis]:[Vervolggebeurtenis_7]],FCPunten[[#This Row],[Faalpad_ID]],FCPunten[[#This Row],[Knoop_ID]]),"")</f>
        <v>kruindaling door stabiliteitsverlies|DIERLIJKE GRAVERIJ</v>
      </c>
      <c r="D38">
        <v>4.6900000000000004</v>
      </c>
      <c r="E38" s="20">
        <v>4.8167059080290106E-18</v>
      </c>
      <c r="G38" t="str">
        <f>IF(FCPunten[[#This Row],[Beta_h]]="","",_xlfn.NORM.S.DIST(-1*FCPunten[[#This Row],[Beta_h]],TRUE))</f>
        <v/>
      </c>
      <c r="H38" s="17">
        <f>IF(FCPunten[[#This Row],[Pf_h]]="", "",-_xlfn.NORM.S.INV(FCPunten[[#This Row],[Pf_h]]))</f>
        <v>8.5782419864155184</v>
      </c>
    </row>
    <row r="39" spans="1:8" ht="45" x14ac:dyDescent="0.25">
      <c r="A39">
        <v>2</v>
      </c>
      <c r="B39">
        <v>2</v>
      </c>
      <c r="C39" s="10" t="str" cm="1">
        <f t="array" ref="C39">IF(SUM(FCPunten[[#This Row],[Faalpad_ID]:[Knoop_ID]])&gt;=2,INDEX(FaalpadenGegevenScenario[[Initiele_gebeurtenis]:[Vervolggebeurtenis_7]],FCPunten[[#This Row],[Faalpad_ID]],FCPunten[[#This Row],[Knoop_ID]]),"")</f>
        <v>kruindaling door stabiliteitsverlies|DIERLIJKE GRAVERIJ</v>
      </c>
      <c r="D39">
        <v>7.35</v>
      </c>
      <c r="E39" s="20">
        <v>1.1737685603671562E-11</v>
      </c>
      <c r="G39" t="str">
        <f>IF(FCPunten[[#This Row],[Beta_h]]="","",_xlfn.NORM.S.DIST(-1*FCPunten[[#This Row],[Beta_h]],TRUE))</f>
        <v/>
      </c>
      <c r="H39" s="17">
        <f>IF(FCPunten[[#This Row],[Pf_h]]="", "",-_xlfn.NORM.S.INV(FCPunten[[#This Row],[Pf_h]]))</f>
        <v>6.6825912372582668</v>
      </c>
    </row>
    <row r="40" spans="1:8" ht="45" x14ac:dyDescent="0.25">
      <c r="A40">
        <v>2</v>
      </c>
      <c r="B40">
        <v>2</v>
      </c>
      <c r="C40" s="10" t="str" cm="1">
        <f t="array" ref="C40">IF(SUM(FCPunten[[#This Row],[Faalpad_ID]:[Knoop_ID]])&gt;=2,INDEX(FaalpadenGegevenScenario[[Initiele_gebeurtenis]:[Vervolggebeurtenis_7]],FCPunten[[#This Row],[Faalpad_ID]],FCPunten[[#This Row],[Knoop_ID]]),"")</f>
        <v>kruindaling door stabiliteitsverlies|DIERLIJKE GRAVERIJ</v>
      </c>
      <c r="D40">
        <v>8.92</v>
      </c>
      <c r="E40" s="20">
        <v>2.1991328804642469E-8</v>
      </c>
      <c r="G40" t="str">
        <f>IF(FCPunten[[#This Row],[Beta_h]]="","",_xlfn.NORM.S.DIST(-1*FCPunten[[#This Row],[Beta_h]],TRUE))</f>
        <v/>
      </c>
      <c r="H40" s="17">
        <f>IF(FCPunten[[#This Row],[Pf_h]]="", "",-_xlfn.NORM.S.INV(FCPunten[[#This Row],[Pf_h]]))</f>
        <v>5.4740654186292232</v>
      </c>
    </row>
    <row r="41" spans="1:8" ht="45" x14ac:dyDescent="0.25">
      <c r="A41">
        <v>2</v>
      </c>
      <c r="B41">
        <v>2</v>
      </c>
      <c r="C41" s="10" t="str" cm="1">
        <f t="array" ref="C41">IF(SUM(FCPunten[[#This Row],[Faalpad_ID]:[Knoop_ID]])&gt;=2,INDEX(FaalpadenGegevenScenario[[Initiele_gebeurtenis]:[Vervolggebeurtenis_7]],FCPunten[[#This Row],[Faalpad_ID]],FCPunten[[#This Row],[Knoop_ID]]),"")</f>
        <v>kruindaling door stabiliteitsverlies|DIERLIJKE GRAVERIJ</v>
      </c>
      <c r="D41">
        <v>12.26</v>
      </c>
      <c r="E41" s="20">
        <v>2.4523991806536973E-4</v>
      </c>
      <c r="G41" t="str">
        <f>IF(FCPunten[[#This Row],[Beta_h]]="","",_xlfn.NORM.S.DIST(-1*FCPunten[[#This Row],[Beta_h]],TRUE))</f>
        <v/>
      </c>
      <c r="H41" s="17">
        <f>IF(FCPunten[[#This Row],[Pf_h]]="", "",-_xlfn.NORM.S.INV(FCPunten[[#This Row],[Pf_h]]))</f>
        <v>3.4859024459198773</v>
      </c>
    </row>
    <row r="42" spans="1:8" ht="45" x14ac:dyDescent="0.25">
      <c r="A42">
        <v>2</v>
      </c>
      <c r="B42">
        <v>2</v>
      </c>
      <c r="C42" s="10" t="str" cm="1">
        <f t="array" ref="C42">IF(SUM(FCPunten[[#This Row],[Faalpad_ID]:[Knoop_ID]])&gt;=2,INDEX(FaalpadenGegevenScenario[[Initiele_gebeurtenis]:[Vervolggebeurtenis_7]],FCPunten[[#This Row],[Faalpad_ID]],FCPunten[[#This Row],[Knoop_ID]]),"")</f>
        <v>kruindaling door stabiliteitsverlies|DIERLIJKE GRAVERIJ</v>
      </c>
      <c r="D42">
        <v>12.55</v>
      </c>
      <c r="E42" s="20">
        <v>6.173073720091972E-4</v>
      </c>
      <c r="G42" t="str">
        <f>IF(FCPunten[[#This Row],[Beta_h]]="","",_xlfn.NORM.S.DIST(-1*FCPunten[[#This Row],[Beta_h]],TRUE))</f>
        <v/>
      </c>
      <c r="H42" s="17">
        <f>IF(FCPunten[[#This Row],[Pf_h]]="", "",-_xlfn.NORM.S.INV(FCPunten[[#This Row],[Pf_h]]))</f>
        <v>3.2307601965927986</v>
      </c>
    </row>
    <row r="43" spans="1:8" ht="30" x14ac:dyDescent="0.25">
      <c r="A43">
        <v>3</v>
      </c>
      <c r="B43">
        <v>1</v>
      </c>
      <c r="C43" s="10" t="str" cm="1">
        <f t="array" ref="C43">IF(SUM(FCPunten[[#This Row],[Faalpad_ID]:[Knoop_ID]])&gt;=2,INDEX(FaalpadenGegevenScenario[[Initiele_gebeurtenis]:[Vervolggebeurtenis_7]],FCPunten[[#This Row],[Faalpad_ID]],FCPunten[[#This Row],[Knoop_ID]]),"")</f>
        <v>kruindaling door stabiliteitsverlies | OVERSLAG</v>
      </c>
      <c r="D43">
        <v>8.92</v>
      </c>
      <c r="F43">
        <v>5</v>
      </c>
      <c r="G43">
        <f>IF(FCPunten[[#This Row],[Beta_h]]="","",_xlfn.NORM.S.DIST(-1*FCPunten[[#This Row],[Beta_h]],TRUE))</f>
        <v>2.8665157187919333E-7</v>
      </c>
      <c r="H43" s="17" t="str">
        <f>IF(FCPunten[[#This Row],[Pf_h]]="", "",-_xlfn.NORM.S.INV(FCPunten[[#This Row],[Pf_h]]))</f>
        <v/>
      </c>
    </row>
    <row r="44" spans="1:8" ht="30" x14ac:dyDescent="0.25">
      <c r="A44">
        <v>3</v>
      </c>
      <c r="B44">
        <v>1</v>
      </c>
      <c r="C44" s="10" t="str" cm="1">
        <f t="array" ref="C44">IF(SUM(FCPunten[[#This Row],[Faalpad_ID]:[Knoop_ID]])&gt;=2,INDEX(FaalpadenGegevenScenario[[Initiele_gebeurtenis]:[Vervolggebeurtenis_7]],FCPunten[[#This Row],[Faalpad_ID]],FCPunten[[#This Row],[Knoop_ID]]),"")</f>
        <v>kruindaling door stabiliteitsverlies | OVERSLAG</v>
      </c>
      <c r="D44">
        <v>12.8</v>
      </c>
      <c r="F44">
        <v>2.5</v>
      </c>
      <c r="G44">
        <f>IF(FCPunten[[#This Row],[Beta_h]]="","",_xlfn.NORM.S.DIST(-1*FCPunten[[#This Row],[Beta_h]],TRUE))</f>
        <v>6.2096653257761331E-3</v>
      </c>
      <c r="H44" s="17" t="str">
        <f>IF(FCPunten[[#This Row],[Pf_h]]="", "",-_xlfn.NORM.S.INV(FCPunten[[#This Row],[Pf_h]]))</f>
        <v/>
      </c>
    </row>
    <row r="45" spans="1:8" ht="45" x14ac:dyDescent="0.25">
      <c r="A45">
        <v>4</v>
      </c>
      <c r="B45">
        <v>2</v>
      </c>
      <c r="C45" s="10" t="str" cm="1">
        <f t="array" ref="C45">IF(SUM(FCPunten[[#This Row],[Faalpad_ID]:[Knoop_ID]])&gt;=2,INDEX(FaalpadenGegevenScenario[[Initiele_gebeurtenis]:[Vervolggebeurtenis_7]],FCPunten[[#This Row],[Faalpad_ID]],FCPunten[[#This Row],[Knoop_ID]]),"")</f>
        <v>kruindaling door stabiliteitsverlies | OVERSLAG EN DIERLIJKE GRAVERIJ</v>
      </c>
      <c r="D45">
        <v>8.92</v>
      </c>
      <c r="F45">
        <v>5</v>
      </c>
      <c r="G45">
        <f>IF(FCPunten[[#This Row],[Beta_h]]="","",_xlfn.NORM.S.DIST(-1*FCPunten[[#This Row],[Beta_h]],TRUE))</f>
        <v>2.8665157187919333E-7</v>
      </c>
      <c r="H45" s="17" t="str">
        <f>IF(FCPunten[[#This Row],[Pf_h]]="", "",-_xlfn.NORM.S.INV(FCPunten[[#This Row],[Pf_h]]))</f>
        <v/>
      </c>
    </row>
    <row r="46" spans="1:8" ht="45" x14ac:dyDescent="0.25">
      <c r="A46">
        <v>4</v>
      </c>
      <c r="B46">
        <v>2</v>
      </c>
      <c r="C46" s="10" t="str" cm="1">
        <f t="array" ref="C46">IF(SUM(FCPunten[[#This Row],[Faalpad_ID]:[Knoop_ID]])&gt;=2,INDEX(FaalpadenGegevenScenario[[Initiele_gebeurtenis]:[Vervolggebeurtenis_7]],FCPunten[[#This Row],[Faalpad_ID]],FCPunten[[#This Row],[Knoop_ID]]),"")</f>
        <v>kruindaling door stabiliteitsverlies | OVERSLAG EN DIERLIJKE GRAVERIJ</v>
      </c>
      <c r="D46">
        <v>12.8</v>
      </c>
      <c r="F46">
        <v>2.5</v>
      </c>
      <c r="G46">
        <f>IF(FCPunten[[#This Row],[Beta_h]]="","",_xlfn.NORM.S.DIST(-1*FCPunten[[#This Row],[Beta_h]],TRUE))</f>
        <v>6.2096653257761331E-3</v>
      </c>
      <c r="H46" s="17" t="str">
        <f>IF(FCPunten[[#This Row],[Pf_h]]="", "",-_xlfn.NORM.S.INV(FCPunten[[#This Row],[Pf_h]]))</f>
        <v/>
      </c>
    </row>
    <row r="47" spans="1:8" x14ac:dyDescent="0.25">
      <c r="C47" s="10"/>
      <c r="H47" s="17"/>
    </row>
    <row r="48" spans="1:8" x14ac:dyDescent="0.25">
      <c r="C48" s="10"/>
      <c r="H48" s="17"/>
    </row>
    <row r="49" spans="3:8" x14ac:dyDescent="0.25">
      <c r="C49" s="10"/>
      <c r="H49" s="17"/>
    </row>
    <row r="50" spans="3:8" x14ac:dyDescent="0.25">
      <c r="C50" s="10"/>
      <c r="H50" s="17"/>
    </row>
    <row r="51" spans="3:8" x14ac:dyDescent="0.25">
      <c r="G51" t="str">
        <f>IF(FCPunten[[#This Row],[Beta_h]]="","",_xlfn.NORM.S.DIST(-1*FCPunten[[#This Row],[Beta_h]],TRUE))</f>
        <v/>
      </c>
      <c r="H51" s="17" t="str">
        <f>IF(FCPunten[[#This Row],[Pf_h]]="", "",-_xlfn.NORM.S.INV(FCPunten[[#This Row],[Pf_h]]))</f>
        <v/>
      </c>
    </row>
    <row r="52" spans="3:8" x14ac:dyDescent="0.25">
      <c r="G52" t="str">
        <f>IF(FCPunten[[#This Row],[Beta_h]]="","",_xlfn.NORM.S.DIST(-1*FCPunten[[#This Row],[Beta_h]],TRUE))</f>
        <v/>
      </c>
      <c r="H52" s="17" t="str">
        <f>IF(FCPunten[[#This Row],[Pf_h]]="", "",-_xlfn.NORM.S.INV(FCPunten[[#This Row],[Pf_h]]))</f>
        <v/>
      </c>
    </row>
    <row r="53" spans="3:8" x14ac:dyDescent="0.25">
      <c r="G53" t="str">
        <f>IF(FCPunten[[#This Row],[Beta_h]]="","",_xlfn.NORM.S.DIST(-1*FCPunten[[#This Row],[Beta_h]],TRUE))</f>
        <v/>
      </c>
      <c r="H53" s="17" t="str">
        <f>IF(FCPunten[[#This Row],[Pf_h]]="", "",-_xlfn.NORM.S.INV(FCPunten[[#This Row],[Pf_h]]))</f>
        <v/>
      </c>
    </row>
    <row r="54" spans="3:8" x14ac:dyDescent="0.25">
      <c r="G54" t="str">
        <f>IF(FCPunten[[#This Row],[Beta_h]]="","",_xlfn.NORM.S.DIST(-1*FCPunten[[#This Row],[Beta_h]],TRUE))</f>
        <v/>
      </c>
      <c r="H54" s="17" t="str">
        <f>IF(FCPunten[[#This Row],[Pf_h]]="", "",-_xlfn.NORM.S.INV(FCPunten[[#This Row],[Pf_h]]))</f>
        <v/>
      </c>
    </row>
    <row r="55" spans="3:8" x14ac:dyDescent="0.25">
      <c r="G55" t="str">
        <f>IF(FCPunten[[#This Row],[Beta_h]]="","",_xlfn.NORM.S.DIST(-1*FCPunten[[#This Row],[Beta_h]],TRUE))</f>
        <v/>
      </c>
      <c r="H55" s="17" t="str">
        <f>IF(FCPunten[[#This Row],[Pf_h]]="", "",-_xlfn.NORM.S.INV(FCPunten[[#This Row],[Pf_h]]))</f>
        <v/>
      </c>
    </row>
    <row r="56" spans="3:8" x14ac:dyDescent="0.25">
      <c r="G56" t="str">
        <f>IF(FCPunten[[#This Row],[Beta_h]]="","",_xlfn.NORM.S.DIST(-1*FCPunten[[#This Row],[Beta_h]],TRUE))</f>
        <v/>
      </c>
      <c r="H56" s="17" t="str">
        <f>IF(FCPunten[[#This Row],[Pf_h]]="", "",-_xlfn.NORM.S.INV(FCPunten[[#This Row],[Pf_h]]))</f>
        <v/>
      </c>
    </row>
    <row r="57" spans="3:8" x14ac:dyDescent="0.25">
      <c r="G57" t="str">
        <f>IF(FCPunten[[#This Row],[Beta_h]]="","",_xlfn.NORM.S.DIST(-1*FCPunten[[#This Row],[Beta_h]],TRUE))</f>
        <v/>
      </c>
      <c r="H57" s="17" t="str">
        <f>IF(FCPunten[[#This Row],[Pf_h]]="", "",-_xlfn.NORM.S.INV(FCPunten[[#This Row],[Pf_h]]))</f>
        <v/>
      </c>
    </row>
    <row r="58" spans="3:8" x14ac:dyDescent="0.25">
      <c r="C58" t="str" cm="1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7" t="str">
        <f>IF(FCPunten[[#This Row],[Pf_h]]="", "",-_xlfn.NORM.S.INV(FCPunten[[#This Row],[Pf_h]]))</f>
        <v/>
      </c>
    </row>
    <row r="59" spans="3:8" x14ac:dyDescent="0.25">
      <c r="C59" t="str" cm="1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7" t="str">
        <f>IF(FCPunten[[#This Row],[Pf_h]]="", "",-_xlfn.NORM.S.INV(FCPunten[[#This Row],[Pf_h]]))</f>
        <v/>
      </c>
    </row>
    <row r="60" spans="3:8" x14ac:dyDescent="0.25">
      <c r="C60" t="str" cm="1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7" t="str">
        <f>IF(FCPunten[[#This Row],[Pf_h]]="", "",-_xlfn.NORM.S.INV(FCPunten[[#This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4AFC-FBDB-4219-8395-2E0D7C3338C5}">
  <dimension ref="A1:B124"/>
  <sheetViews>
    <sheetView topLeftCell="A52" workbookViewId="0">
      <selection activeCell="A23" sqref="A23"/>
    </sheetView>
  </sheetViews>
  <sheetFormatPr defaultRowHeight="15" x14ac:dyDescent="0.25"/>
  <sheetData>
    <row r="1" spans="1:2" x14ac:dyDescent="0.25">
      <c r="A1" s="11" t="s">
        <v>17</v>
      </c>
      <c r="B1" s="12" t="s">
        <v>39</v>
      </c>
    </row>
    <row r="2" spans="1:2" x14ac:dyDescent="0.25">
      <c r="A2" s="13">
        <v>7.5</v>
      </c>
      <c r="B2" s="14">
        <v>0</v>
      </c>
    </row>
    <row r="3" spans="1:2" x14ac:dyDescent="0.25">
      <c r="A3" s="13">
        <v>7.55</v>
      </c>
      <c r="B3" s="14">
        <v>0</v>
      </c>
    </row>
    <row r="4" spans="1:2" x14ac:dyDescent="0.25">
      <c r="A4" s="13">
        <v>7.6</v>
      </c>
      <c r="B4" s="14">
        <v>0</v>
      </c>
    </row>
    <row r="5" spans="1:2" x14ac:dyDescent="0.25">
      <c r="A5" s="13">
        <v>7.65</v>
      </c>
      <c r="B5" s="14">
        <v>0</v>
      </c>
    </row>
    <row r="6" spans="1:2" x14ac:dyDescent="0.25">
      <c r="A6" s="13">
        <v>7.7</v>
      </c>
      <c r="B6" s="14">
        <v>0</v>
      </c>
    </row>
    <row r="7" spans="1:2" x14ac:dyDescent="0.25">
      <c r="A7" s="15">
        <v>7.75</v>
      </c>
      <c r="B7" s="16">
        <v>0</v>
      </c>
    </row>
    <row r="8" spans="1:2" x14ac:dyDescent="0.25">
      <c r="A8" s="13">
        <v>7.8</v>
      </c>
      <c r="B8" s="14">
        <v>0</v>
      </c>
    </row>
    <row r="9" spans="1:2" x14ac:dyDescent="0.25">
      <c r="A9" s="13">
        <v>7.85</v>
      </c>
      <c r="B9" s="14">
        <v>0</v>
      </c>
    </row>
    <row r="10" spans="1:2" x14ac:dyDescent="0.25">
      <c r="A10" s="13">
        <v>7.9</v>
      </c>
      <c r="B10" s="14">
        <v>0</v>
      </c>
    </row>
    <row r="11" spans="1:2" x14ac:dyDescent="0.25">
      <c r="A11" s="13">
        <v>7.95</v>
      </c>
      <c r="B11" s="14">
        <v>0</v>
      </c>
    </row>
    <row r="12" spans="1:2" x14ac:dyDescent="0.25">
      <c r="A12" s="13">
        <v>8</v>
      </c>
      <c r="B12" s="14">
        <v>1.6899999999999999E-14</v>
      </c>
    </row>
    <row r="13" spans="1:2" x14ac:dyDescent="0.25">
      <c r="A13" s="13">
        <v>8.0500000000000007</v>
      </c>
      <c r="B13" s="14">
        <v>2.0899999999999999E-13</v>
      </c>
    </row>
    <row r="14" spans="1:2" x14ac:dyDescent="0.25">
      <c r="A14" s="13">
        <v>8.1</v>
      </c>
      <c r="B14" s="14">
        <v>8.0899999999999999E-13</v>
      </c>
    </row>
    <row r="15" spans="1:2" x14ac:dyDescent="0.25">
      <c r="A15" s="13">
        <v>8.15</v>
      </c>
      <c r="B15" s="14">
        <v>2.2100000000000001E-12</v>
      </c>
    </row>
    <row r="16" spans="1:2" x14ac:dyDescent="0.25">
      <c r="A16" s="13">
        <v>8.1999999999999993</v>
      </c>
      <c r="B16" s="14">
        <v>4.6300000000000003E-12</v>
      </c>
    </row>
    <row r="17" spans="1:2" x14ac:dyDescent="0.25">
      <c r="A17" s="13">
        <v>8.25</v>
      </c>
      <c r="B17" s="14">
        <v>8.11E-12</v>
      </c>
    </row>
    <row r="18" spans="1:2" x14ac:dyDescent="0.25">
      <c r="A18" s="13">
        <v>8.3000000000000007</v>
      </c>
      <c r="B18" s="14">
        <v>1.28E-11</v>
      </c>
    </row>
    <row r="19" spans="1:2" x14ac:dyDescent="0.25">
      <c r="A19" s="13">
        <v>8.35</v>
      </c>
      <c r="B19" s="14">
        <v>1.9599999999999999E-11</v>
      </c>
    </row>
    <row r="20" spans="1:2" x14ac:dyDescent="0.25">
      <c r="A20" s="13">
        <v>8.4</v>
      </c>
      <c r="B20" s="14">
        <v>2.9E-11</v>
      </c>
    </row>
    <row r="21" spans="1:2" x14ac:dyDescent="0.25">
      <c r="A21" s="13">
        <v>8.4499999999999993</v>
      </c>
      <c r="B21" s="14">
        <v>4.2399999999999997E-11</v>
      </c>
    </row>
    <row r="22" spans="1:2" x14ac:dyDescent="0.25">
      <c r="A22" s="13">
        <v>8.5</v>
      </c>
      <c r="B22" s="14">
        <v>6.1400000000000003E-11</v>
      </c>
    </row>
    <row r="23" spans="1:2" x14ac:dyDescent="0.25">
      <c r="A23" s="13">
        <v>8.5500000000000007</v>
      </c>
      <c r="B23" s="14">
        <v>9.0699999999999994E-11</v>
      </c>
    </row>
    <row r="24" spans="1:2" x14ac:dyDescent="0.25">
      <c r="A24" s="13">
        <v>8.6</v>
      </c>
      <c r="B24" s="14">
        <v>1.3100000000000001E-10</v>
      </c>
    </row>
    <row r="25" spans="1:2" x14ac:dyDescent="0.25">
      <c r="A25" s="13">
        <v>8.65</v>
      </c>
      <c r="B25" s="14">
        <v>1.8400000000000001E-10</v>
      </c>
    </row>
    <row r="26" spans="1:2" x14ac:dyDescent="0.25">
      <c r="A26" s="13">
        <v>8.6999999999999993</v>
      </c>
      <c r="B26" s="14">
        <v>2.5000000000000002E-10</v>
      </c>
    </row>
    <row r="27" spans="1:2" x14ac:dyDescent="0.25">
      <c r="A27" s="13">
        <v>8.75</v>
      </c>
      <c r="B27" s="14">
        <v>3.3099999999999999E-10</v>
      </c>
    </row>
    <row r="28" spans="1:2" x14ac:dyDescent="0.25">
      <c r="A28" s="13">
        <v>8.8000000000000007</v>
      </c>
      <c r="B28" s="14">
        <v>4.6200000000000001E-10</v>
      </c>
    </row>
    <row r="29" spans="1:2" x14ac:dyDescent="0.25">
      <c r="A29" s="13">
        <v>8.85</v>
      </c>
      <c r="B29" s="14">
        <v>6.4600000000000004E-10</v>
      </c>
    </row>
    <row r="30" spans="1:2" x14ac:dyDescent="0.25">
      <c r="A30" s="13">
        <v>8.9</v>
      </c>
      <c r="B30" s="14">
        <v>8.8299999999999995E-10</v>
      </c>
    </row>
    <row r="31" spans="1:2" x14ac:dyDescent="0.25">
      <c r="A31" s="13">
        <v>8.9499999999999993</v>
      </c>
      <c r="B31" s="14">
        <v>1.1700000000000001E-9</v>
      </c>
    </row>
    <row r="32" spans="1:2" x14ac:dyDescent="0.25">
      <c r="A32" s="13">
        <v>9</v>
      </c>
      <c r="B32" s="14">
        <v>1.56E-9</v>
      </c>
    </row>
    <row r="33" spans="1:2" x14ac:dyDescent="0.25">
      <c r="A33" s="13">
        <v>9.0500000000000007</v>
      </c>
      <c r="B33" s="14">
        <v>2.1200000000000001E-9</v>
      </c>
    </row>
    <row r="34" spans="1:2" x14ac:dyDescent="0.25">
      <c r="A34" s="13">
        <v>9.1</v>
      </c>
      <c r="B34" s="14">
        <v>2.86E-9</v>
      </c>
    </row>
    <row r="35" spans="1:2" x14ac:dyDescent="0.25">
      <c r="A35" s="13">
        <v>9.15</v>
      </c>
      <c r="B35" s="14">
        <v>3.8099999999999999E-9</v>
      </c>
    </row>
    <row r="36" spans="1:2" x14ac:dyDescent="0.25">
      <c r="A36" s="13">
        <v>9.1999999999999993</v>
      </c>
      <c r="B36" s="14">
        <v>5.0000000000000001E-9</v>
      </c>
    </row>
    <row r="37" spans="1:2" x14ac:dyDescent="0.25">
      <c r="A37" s="13">
        <v>9.25</v>
      </c>
      <c r="B37" s="14">
        <v>6.5599999999999997E-9</v>
      </c>
    </row>
    <row r="38" spans="1:2" x14ac:dyDescent="0.25">
      <c r="A38" s="13">
        <v>9.3000000000000007</v>
      </c>
      <c r="B38" s="14">
        <v>8.6599999999999995E-9</v>
      </c>
    </row>
    <row r="39" spans="1:2" x14ac:dyDescent="0.25">
      <c r="A39" s="13">
        <v>9.35</v>
      </c>
      <c r="B39" s="14">
        <v>1.14E-8</v>
      </c>
    </row>
    <row r="40" spans="1:2" x14ac:dyDescent="0.25">
      <c r="A40" s="13">
        <v>9.4</v>
      </c>
      <c r="B40" s="14">
        <v>1.4899999999999999E-8</v>
      </c>
    </row>
    <row r="41" spans="1:2" x14ac:dyDescent="0.25">
      <c r="A41" s="13">
        <v>9.4499999999999993</v>
      </c>
      <c r="B41" s="14">
        <v>1.96E-8</v>
      </c>
    </row>
    <row r="42" spans="1:2" x14ac:dyDescent="0.25">
      <c r="A42" s="13">
        <v>9.5</v>
      </c>
      <c r="B42" s="14">
        <v>2.5600000000000001E-8</v>
      </c>
    </row>
    <row r="43" spans="1:2" x14ac:dyDescent="0.25">
      <c r="A43" s="13">
        <v>9.5500000000000007</v>
      </c>
      <c r="B43" s="14">
        <v>3.32E-8</v>
      </c>
    </row>
    <row r="44" spans="1:2" x14ac:dyDescent="0.25">
      <c r="A44" s="13">
        <v>9.6</v>
      </c>
      <c r="B44" s="14">
        <v>4.3000000000000001E-8</v>
      </c>
    </row>
    <row r="45" spans="1:2" x14ac:dyDescent="0.25">
      <c r="A45" s="13">
        <v>9.65</v>
      </c>
      <c r="B45" s="14">
        <v>5.6699999999999998E-8</v>
      </c>
    </row>
    <row r="46" spans="1:2" x14ac:dyDescent="0.25">
      <c r="A46" s="13">
        <v>9.6999999999999993</v>
      </c>
      <c r="B46" s="14">
        <v>7.3799999999999999E-8</v>
      </c>
    </row>
    <row r="47" spans="1:2" x14ac:dyDescent="0.25">
      <c r="A47" s="13">
        <v>9.75</v>
      </c>
      <c r="B47" s="14">
        <v>9.5200000000000005E-8</v>
      </c>
    </row>
    <row r="48" spans="1:2" x14ac:dyDescent="0.25">
      <c r="A48" s="13">
        <v>9.8000000000000007</v>
      </c>
      <c r="B48" s="14">
        <v>1.2200000000000001E-7</v>
      </c>
    </row>
    <row r="49" spans="1:2" x14ac:dyDescent="0.25">
      <c r="A49" s="13">
        <v>9.85</v>
      </c>
      <c r="B49" s="14">
        <v>1.5900000000000001E-7</v>
      </c>
    </row>
    <row r="50" spans="1:2" x14ac:dyDescent="0.25">
      <c r="A50" s="13">
        <v>9.9</v>
      </c>
      <c r="B50" s="14">
        <v>2.0599999999999999E-7</v>
      </c>
    </row>
    <row r="51" spans="1:2" x14ac:dyDescent="0.25">
      <c r="A51" s="13">
        <v>9.9499999999999993</v>
      </c>
      <c r="B51" s="14">
        <v>2.65E-7</v>
      </c>
    </row>
    <row r="52" spans="1:2" x14ac:dyDescent="0.25">
      <c r="A52" s="13">
        <v>10</v>
      </c>
      <c r="B52" s="14">
        <v>3.3999999999999997E-7</v>
      </c>
    </row>
    <row r="53" spans="1:2" x14ac:dyDescent="0.25">
      <c r="A53" s="13">
        <v>10.050000000000001</v>
      </c>
      <c r="B53" s="14">
        <v>4.39E-7</v>
      </c>
    </row>
    <row r="54" spans="1:2" x14ac:dyDescent="0.25">
      <c r="A54" s="13">
        <v>10.1</v>
      </c>
      <c r="B54" s="14">
        <v>5.68E-7</v>
      </c>
    </row>
    <row r="55" spans="1:2" x14ac:dyDescent="0.25">
      <c r="A55" s="13">
        <v>10.15</v>
      </c>
      <c r="B55" s="14">
        <v>7.2699999999999999E-7</v>
      </c>
    </row>
    <row r="56" spans="1:2" x14ac:dyDescent="0.25">
      <c r="A56" s="13">
        <v>10.199999999999999</v>
      </c>
      <c r="B56" s="14">
        <v>9.2600000000000001E-7</v>
      </c>
    </row>
    <row r="57" spans="1:2" x14ac:dyDescent="0.25">
      <c r="A57" s="13">
        <v>10.25</v>
      </c>
      <c r="B57" s="14">
        <v>1.19E-6</v>
      </c>
    </row>
    <row r="58" spans="1:2" x14ac:dyDescent="0.25">
      <c r="A58" s="13">
        <v>10.3</v>
      </c>
      <c r="B58" s="14">
        <v>1.55E-6</v>
      </c>
    </row>
    <row r="59" spans="1:2" x14ac:dyDescent="0.25">
      <c r="A59" s="13">
        <v>10.35</v>
      </c>
      <c r="B59" s="14">
        <v>1.9800000000000001E-6</v>
      </c>
    </row>
    <row r="60" spans="1:2" x14ac:dyDescent="0.25">
      <c r="A60" s="13">
        <v>10.4</v>
      </c>
      <c r="B60" s="14">
        <v>2.52E-6</v>
      </c>
    </row>
    <row r="61" spans="1:2" x14ac:dyDescent="0.25">
      <c r="A61" s="13">
        <v>10.45</v>
      </c>
      <c r="B61" s="14">
        <v>3.1599999999999998E-6</v>
      </c>
    </row>
    <row r="62" spans="1:2" x14ac:dyDescent="0.25">
      <c r="A62" s="13">
        <v>10.5</v>
      </c>
      <c r="B62" s="14">
        <v>4.0999999999999997E-6</v>
      </c>
    </row>
    <row r="63" spans="1:2" x14ac:dyDescent="0.25">
      <c r="A63" s="13">
        <v>10.55</v>
      </c>
      <c r="B63" s="14">
        <v>5.3299999999999998E-6</v>
      </c>
    </row>
    <row r="64" spans="1:2" x14ac:dyDescent="0.25">
      <c r="A64" s="13">
        <v>10.6</v>
      </c>
      <c r="B64" s="14">
        <v>6.8499999999999996E-6</v>
      </c>
    </row>
    <row r="65" spans="1:2" x14ac:dyDescent="0.25">
      <c r="A65" s="13">
        <v>10.65</v>
      </c>
      <c r="B65" s="14">
        <v>8.6899999999999998E-6</v>
      </c>
    </row>
    <row r="66" spans="1:2" x14ac:dyDescent="0.25">
      <c r="A66" s="13">
        <v>10.7</v>
      </c>
      <c r="B66" s="14">
        <v>1.1199999999999999E-5</v>
      </c>
    </row>
    <row r="67" spans="1:2" x14ac:dyDescent="0.25">
      <c r="A67" s="13">
        <v>10.75</v>
      </c>
      <c r="B67" s="14">
        <v>1.45E-5</v>
      </c>
    </row>
    <row r="68" spans="1:2" x14ac:dyDescent="0.25">
      <c r="A68" s="13">
        <v>10.8</v>
      </c>
      <c r="B68" s="14">
        <v>1.84E-5</v>
      </c>
    </row>
    <row r="69" spans="1:2" x14ac:dyDescent="0.25">
      <c r="A69" s="13">
        <v>10.85</v>
      </c>
      <c r="B69" s="14">
        <v>2.3300000000000001E-5</v>
      </c>
    </row>
    <row r="70" spans="1:2" x14ac:dyDescent="0.25">
      <c r="A70" s="13">
        <v>10.9</v>
      </c>
      <c r="B70" s="14">
        <v>3.04E-5</v>
      </c>
    </row>
    <row r="71" spans="1:2" x14ac:dyDescent="0.25">
      <c r="A71" s="13">
        <v>10.95</v>
      </c>
      <c r="B71" s="14">
        <v>3.9400000000000002E-5</v>
      </c>
    </row>
    <row r="72" spans="1:2" x14ac:dyDescent="0.25">
      <c r="A72" s="13">
        <v>11</v>
      </c>
      <c r="B72" s="14">
        <v>5.0699999999999999E-5</v>
      </c>
    </row>
    <row r="73" spans="1:2" x14ac:dyDescent="0.25">
      <c r="A73" s="13">
        <v>11.05</v>
      </c>
      <c r="B73" s="14">
        <v>6.4800000000000003E-5</v>
      </c>
    </row>
    <row r="74" spans="1:2" x14ac:dyDescent="0.25">
      <c r="A74" s="13">
        <v>11.1</v>
      </c>
      <c r="B74" s="14">
        <v>8.2799999999999993E-5</v>
      </c>
    </row>
    <row r="75" spans="1:2" x14ac:dyDescent="0.25">
      <c r="A75" s="13">
        <v>11.15</v>
      </c>
      <c r="B75" s="14">
        <v>1.08E-4</v>
      </c>
    </row>
    <row r="76" spans="1:2" x14ac:dyDescent="0.25">
      <c r="A76" s="13">
        <v>11.2</v>
      </c>
      <c r="B76" s="14">
        <v>1.4200000000000001E-4</v>
      </c>
    </row>
    <row r="77" spans="1:2" x14ac:dyDescent="0.25">
      <c r="A77" s="13">
        <v>11.25</v>
      </c>
      <c r="B77" s="14">
        <v>1.84E-4</v>
      </c>
    </row>
    <row r="78" spans="1:2" x14ac:dyDescent="0.25">
      <c r="A78" s="13">
        <v>11.3</v>
      </c>
      <c r="B78" s="14">
        <v>2.3599999999999999E-4</v>
      </c>
    </row>
    <row r="79" spans="1:2" x14ac:dyDescent="0.25">
      <c r="A79" s="13">
        <v>11.35</v>
      </c>
      <c r="B79" s="14">
        <v>3.1E-4</v>
      </c>
    </row>
    <row r="80" spans="1:2" x14ac:dyDescent="0.25">
      <c r="A80" s="13">
        <v>11.4</v>
      </c>
      <c r="B80" s="14">
        <v>4.06E-4</v>
      </c>
    </row>
    <row r="81" spans="1:2" x14ac:dyDescent="0.25">
      <c r="A81" s="13">
        <v>11.45</v>
      </c>
      <c r="B81" s="14">
        <v>5.31E-4</v>
      </c>
    </row>
    <row r="82" spans="1:2" x14ac:dyDescent="0.25">
      <c r="A82" s="13">
        <v>11.5</v>
      </c>
      <c r="B82" s="14">
        <v>6.9399999999999996E-4</v>
      </c>
    </row>
    <row r="83" spans="1:2" x14ac:dyDescent="0.25">
      <c r="A83" s="13">
        <v>11.55</v>
      </c>
      <c r="B83" s="14">
        <v>9.2699999999999998E-4</v>
      </c>
    </row>
    <row r="84" spans="1:2" x14ac:dyDescent="0.25">
      <c r="A84" s="13">
        <v>11.6</v>
      </c>
      <c r="B84" s="14">
        <v>1.24E-3</v>
      </c>
    </row>
    <row r="85" spans="1:2" x14ac:dyDescent="0.25">
      <c r="A85" s="13">
        <v>11.65</v>
      </c>
      <c r="B85" s="14">
        <v>1.64E-3</v>
      </c>
    </row>
    <row r="86" spans="1:2" x14ac:dyDescent="0.25">
      <c r="A86" s="13">
        <v>11.7</v>
      </c>
      <c r="B86" s="14">
        <v>2.1800000000000001E-3</v>
      </c>
    </row>
    <row r="87" spans="1:2" x14ac:dyDescent="0.25">
      <c r="A87" s="13">
        <v>11.75</v>
      </c>
      <c r="B87" s="14">
        <v>2.96E-3</v>
      </c>
    </row>
    <row r="88" spans="1:2" x14ac:dyDescent="0.25">
      <c r="A88" s="13">
        <v>11.8</v>
      </c>
      <c r="B88" s="14">
        <v>4.0400000000000002E-3</v>
      </c>
    </row>
    <row r="89" spans="1:2" x14ac:dyDescent="0.25">
      <c r="A89" s="13">
        <v>11.85</v>
      </c>
      <c r="B89" s="14">
        <v>5.45E-3</v>
      </c>
    </row>
    <row r="90" spans="1:2" x14ac:dyDescent="0.25">
      <c r="A90" s="13">
        <v>11.9</v>
      </c>
      <c r="B90" s="14">
        <v>7.3099999999999997E-3</v>
      </c>
    </row>
    <row r="91" spans="1:2" x14ac:dyDescent="0.25">
      <c r="A91" s="13">
        <v>11.95</v>
      </c>
      <c r="B91" s="14">
        <v>9.8399999999999998E-3</v>
      </c>
    </row>
    <row r="92" spans="1:2" x14ac:dyDescent="0.25">
      <c r="A92" s="13">
        <v>12</v>
      </c>
      <c r="B92" s="14">
        <v>1.3899999999999999E-2</v>
      </c>
    </row>
    <row r="93" spans="1:2" x14ac:dyDescent="0.25">
      <c r="A93" s="13">
        <v>12.05</v>
      </c>
      <c r="B93" s="14">
        <v>1.9E-2</v>
      </c>
    </row>
    <row r="94" spans="1:2" x14ac:dyDescent="0.25">
      <c r="A94" s="13">
        <v>12.1</v>
      </c>
      <c r="B94" s="14">
        <v>2.53E-2</v>
      </c>
    </row>
    <row r="95" spans="1:2" x14ac:dyDescent="0.25">
      <c r="A95" s="13">
        <v>12.15</v>
      </c>
      <c r="B95" s="14">
        <v>3.3000000000000002E-2</v>
      </c>
    </row>
    <row r="96" spans="1:2" x14ac:dyDescent="0.25">
      <c r="A96" s="13">
        <v>12.2</v>
      </c>
      <c r="B96" s="14">
        <v>4.4999999999999998E-2</v>
      </c>
    </row>
    <row r="97" spans="1:2" x14ac:dyDescent="0.25">
      <c r="A97" s="13">
        <v>12.25</v>
      </c>
      <c r="B97" s="14">
        <v>6.1499999999999999E-2</v>
      </c>
    </row>
    <row r="98" spans="1:2" x14ac:dyDescent="0.25">
      <c r="A98" s="13">
        <v>12.3</v>
      </c>
      <c r="B98" s="14">
        <v>8.2199999999999995E-2</v>
      </c>
    </row>
    <row r="99" spans="1:2" x14ac:dyDescent="0.25">
      <c r="A99" s="13">
        <v>12.35</v>
      </c>
      <c r="B99" s="14">
        <v>0.108</v>
      </c>
    </row>
    <row r="100" spans="1:2" x14ac:dyDescent="0.25">
      <c r="A100" s="13">
        <v>12.4</v>
      </c>
      <c r="B100" s="14">
        <v>0.14199999999999999</v>
      </c>
    </row>
    <row r="101" spans="1:2" x14ac:dyDescent="0.25">
      <c r="A101" s="13">
        <v>12.45</v>
      </c>
      <c r="B101" s="14">
        <v>0.188</v>
      </c>
    </row>
    <row r="102" spans="1:2" x14ac:dyDescent="0.25">
      <c r="A102" s="13">
        <v>12.5</v>
      </c>
      <c r="B102" s="14">
        <v>0.252</v>
      </c>
    </row>
    <row r="103" spans="1:2" x14ac:dyDescent="0.25">
      <c r="A103" s="13">
        <v>12.55</v>
      </c>
      <c r="B103" s="14">
        <v>0.33900000000000002</v>
      </c>
    </row>
    <row r="104" spans="1:2" x14ac:dyDescent="0.25">
      <c r="A104" s="13">
        <v>12.6</v>
      </c>
      <c r="B104" s="14">
        <v>0.45700000000000002</v>
      </c>
    </row>
    <row r="105" spans="1:2" x14ac:dyDescent="0.25">
      <c r="A105" s="13">
        <v>12.65</v>
      </c>
      <c r="B105" s="14">
        <v>0.58699999999999997</v>
      </c>
    </row>
    <row r="106" spans="1:2" x14ac:dyDescent="0.25">
      <c r="A106" s="13">
        <v>12.7</v>
      </c>
      <c r="B106" s="14">
        <v>0.73499999999999999</v>
      </c>
    </row>
    <row r="107" spans="1:2" x14ac:dyDescent="0.25">
      <c r="A107" s="13">
        <v>12.75</v>
      </c>
      <c r="B107" s="14">
        <v>0.89500000000000002</v>
      </c>
    </row>
    <row r="108" spans="1:2" x14ac:dyDescent="0.25">
      <c r="A108" s="13">
        <v>12.8</v>
      </c>
      <c r="B108" s="14">
        <v>1</v>
      </c>
    </row>
    <row r="109" spans="1:2" x14ac:dyDescent="0.25">
      <c r="A109" s="13">
        <v>12.85</v>
      </c>
      <c r="B109" s="14">
        <v>1</v>
      </c>
    </row>
    <row r="110" spans="1:2" x14ac:dyDescent="0.25">
      <c r="A110" s="13">
        <v>12.9</v>
      </c>
      <c r="B110" s="14">
        <v>1</v>
      </c>
    </row>
    <row r="111" spans="1:2" x14ac:dyDescent="0.25">
      <c r="A111" s="13">
        <v>12.95</v>
      </c>
      <c r="B111" s="14">
        <v>1</v>
      </c>
    </row>
    <row r="112" spans="1:2" x14ac:dyDescent="0.25">
      <c r="A112" s="13">
        <v>13</v>
      </c>
      <c r="B112" s="14">
        <v>1</v>
      </c>
    </row>
    <row r="113" spans="1:2" x14ac:dyDescent="0.25">
      <c r="A113" s="13">
        <v>13.05</v>
      </c>
      <c r="B113" s="14">
        <v>1</v>
      </c>
    </row>
    <row r="114" spans="1:2" x14ac:dyDescent="0.25">
      <c r="A114" s="13">
        <v>13.1</v>
      </c>
      <c r="B114" s="14">
        <v>1</v>
      </c>
    </row>
    <row r="115" spans="1:2" x14ac:dyDescent="0.25">
      <c r="A115" s="13">
        <v>13.15</v>
      </c>
      <c r="B115" s="14">
        <v>1</v>
      </c>
    </row>
    <row r="116" spans="1:2" x14ac:dyDescent="0.25">
      <c r="A116" s="13">
        <v>13.2</v>
      </c>
      <c r="B116" s="14">
        <v>1</v>
      </c>
    </row>
    <row r="117" spans="1:2" x14ac:dyDescent="0.25">
      <c r="A117" s="13">
        <v>13.25</v>
      </c>
      <c r="B117" s="14">
        <v>1</v>
      </c>
    </row>
    <row r="118" spans="1:2" x14ac:dyDescent="0.25">
      <c r="A118" s="13">
        <v>13.3</v>
      </c>
      <c r="B118" s="14">
        <v>1</v>
      </c>
    </row>
    <row r="119" spans="1:2" x14ac:dyDescent="0.25">
      <c r="A119" s="13">
        <v>13.35</v>
      </c>
      <c r="B119" s="14">
        <v>1</v>
      </c>
    </row>
    <row r="120" spans="1:2" x14ac:dyDescent="0.25">
      <c r="A120" s="13">
        <v>13.4</v>
      </c>
      <c r="B120" s="14">
        <v>1</v>
      </c>
    </row>
    <row r="121" spans="1:2" x14ac:dyDescent="0.25">
      <c r="A121" s="13">
        <v>13.45</v>
      </c>
      <c r="B121" s="14">
        <v>1</v>
      </c>
    </row>
    <row r="122" spans="1:2" x14ac:dyDescent="0.25">
      <c r="A122" s="13">
        <v>13.5</v>
      </c>
      <c r="B122" s="14">
        <v>1</v>
      </c>
    </row>
    <row r="123" spans="1:2" x14ac:dyDescent="0.25">
      <c r="A123" s="13">
        <v>14</v>
      </c>
      <c r="B123" s="14">
        <v>1</v>
      </c>
    </row>
    <row r="124" spans="1:2" x14ac:dyDescent="0.25">
      <c r="A124" s="13">
        <v>20</v>
      </c>
      <c r="B124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47D-6BF3-46B8-ABC6-464DCDFC1905}">
  <dimension ref="A1:B7"/>
  <sheetViews>
    <sheetView workbookViewId="0">
      <selection activeCell="A6" sqref="A6"/>
    </sheetView>
  </sheetViews>
  <sheetFormatPr defaultRowHeight="15" x14ac:dyDescent="0.25"/>
  <sheetData>
    <row r="1" spans="1:2" x14ac:dyDescent="0.25">
      <c r="A1" s="11" t="s">
        <v>17</v>
      </c>
      <c r="B1" s="12" t="s">
        <v>39</v>
      </c>
    </row>
    <row r="2" spans="1:2" x14ac:dyDescent="0.25">
      <c r="A2" s="13">
        <v>0</v>
      </c>
      <c r="B2" s="18">
        <v>0</v>
      </c>
    </row>
    <row r="3" spans="1:2" x14ac:dyDescent="0.25">
      <c r="A3" s="13">
        <v>6.5</v>
      </c>
      <c r="B3" s="18">
        <v>0</v>
      </c>
    </row>
    <row r="4" spans="1:2" x14ac:dyDescent="0.25">
      <c r="A4" s="13">
        <v>6.6</v>
      </c>
      <c r="B4" s="14">
        <f>B5/6</f>
        <v>4.7999999999999994E-2</v>
      </c>
    </row>
    <row r="5" spans="1:2" x14ac:dyDescent="0.25">
      <c r="A5" s="13">
        <v>12.55</v>
      </c>
      <c r="B5" s="14">
        <f>0.288</f>
        <v>0.28799999999999998</v>
      </c>
    </row>
    <row r="6" spans="1:2" x14ac:dyDescent="0.25">
      <c r="A6" s="13"/>
      <c r="B6" s="14"/>
    </row>
    <row r="7" spans="1:2" x14ac:dyDescent="0.25">
      <c r="A7" s="15"/>
      <c r="B7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61DD-DC75-4997-8542-54C57ADC53C7}">
  <dimension ref="A1:B178"/>
  <sheetViews>
    <sheetView topLeftCell="A85" workbookViewId="0">
      <selection activeCell="P12" sqref="P12"/>
    </sheetView>
  </sheetViews>
  <sheetFormatPr defaultRowHeight="15" x14ac:dyDescent="0.25"/>
  <cols>
    <col min="1" max="1" width="9" bestFit="1" customWidth="1"/>
    <col min="2" max="2" width="11.5703125" bestFit="1" customWidth="1"/>
  </cols>
  <sheetData>
    <row r="1" spans="1:2" x14ac:dyDescent="0.25">
      <c r="A1" t="s">
        <v>17</v>
      </c>
      <c r="B1" t="s">
        <v>49</v>
      </c>
    </row>
    <row r="2" spans="1:2" x14ac:dyDescent="0.25">
      <c r="A2" s="21">
        <v>5.4499999999999638</v>
      </c>
      <c r="B2" s="21">
        <v>0</v>
      </c>
    </row>
    <row r="3" spans="1:2" x14ac:dyDescent="0.25">
      <c r="A3" s="21">
        <v>5.4999999999999636</v>
      </c>
      <c r="B3" s="21">
        <v>0</v>
      </c>
    </row>
    <row r="4" spans="1:2" x14ac:dyDescent="0.25">
      <c r="A4" s="21">
        <v>5.5499999999999634</v>
      </c>
      <c r="B4" s="21">
        <v>0</v>
      </c>
    </row>
    <row r="5" spans="1:2" x14ac:dyDescent="0.25">
      <c r="A5" s="21">
        <v>5.5999999999999632</v>
      </c>
      <c r="B5" s="21">
        <v>0</v>
      </c>
    </row>
    <row r="6" spans="1:2" x14ac:dyDescent="0.25">
      <c r="A6" s="21">
        <v>5.6499999999999631</v>
      </c>
      <c r="B6" s="21">
        <v>0</v>
      </c>
    </row>
    <row r="7" spans="1:2" x14ac:dyDescent="0.25">
      <c r="A7" s="21">
        <v>5.6999999999999629</v>
      </c>
      <c r="B7" s="21">
        <v>0</v>
      </c>
    </row>
    <row r="8" spans="1:2" x14ac:dyDescent="0.25">
      <c r="A8" s="21">
        <v>5.7499999999999627</v>
      </c>
      <c r="B8" s="21">
        <v>0</v>
      </c>
    </row>
    <row r="9" spans="1:2" x14ac:dyDescent="0.25">
      <c r="A9" s="21">
        <v>5.7999999999999625</v>
      </c>
      <c r="B9" s="21">
        <v>0</v>
      </c>
    </row>
    <row r="10" spans="1:2" x14ac:dyDescent="0.25">
      <c r="A10" s="21">
        <v>5.8499999999999623</v>
      </c>
      <c r="B10" s="21">
        <v>0</v>
      </c>
    </row>
    <row r="11" spans="1:2" x14ac:dyDescent="0.25">
      <c r="A11" s="21">
        <v>5.8999999999999622</v>
      </c>
      <c r="B11" s="21">
        <v>0</v>
      </c>
    </row>
    <row r="12" spans="1:2" x14ac:dyDescent="0.25">
      <c r="A12" s="21">
        <v>5.949999999999962</v>
      </c>
      <c r="B12" s="21">
        <v>0</v>
      </c>
    </row>
    <row r="13" spans="1:2" x14ac:dyDescent="0.25">
      <c r="A13" s="21">
        <v>5.9999999999999618</v>
      </c>
      <c r="B13" s="21">
        <v>0</v>
      </c>
    </row>
    <row r="14" spans="1:2" x14ac:dyDescent="0.25">
      <c r="A14" s="21">
        <v>6.0499999999999616</v>
      </c>
      <c r="B14" s="21">
        <v>0</v>
      </c>
    </row>
    <row r="15" spans="1:2" x14ac:dyDescent="0.25">
      <c r="A15" s="21">
        <v>6.0999999999999615</v>
      </c>
      <c r="B15" s="21">
        <v>0</v>
      </c>
    </row>
    <row r="16" spans="1:2" x14ac:dyDescent="0.25">
      <c r="A16" s="21">
        <v>6.1499999999999613</v>
      </c>
      <c r="B16" s="21">
        <v>0</v>
      </c>
    </row>
    <row r="17" spans="1:2" x14ac:dyDescent="0.25">
      <c r="A17" s="21">
        <v>6.1999999999999611</v>
      </c>
      <c r="B17" s="21">
        <v>0</v>
      </c>
    </row>
    <row r="18" spans="1:2" x14ac:dyDescent="0.25">
      <c r="A18" s="21">
        <v>6.2499999999999609</v>
      </c>
      <c r="B18" s="21">
        <v>0</v>
      </c>
    </row>
    <row r="19" spans="1:2" x14ac:dyDescent="0.25">
      <c r="A19" s="21">
        <v>6.2999999999999607</v>
      </c>
      <c r="B19" s="21">
        <v>0</v>
      </c>
    </row>
    <row r="20" spans="1:2" x14ac:dyDescent="0.25">
      <c r="A20" s="21">
        <v>6.3499999999999606</v>
      </c>
      <c r="B20" s="21">
        <v>0</v>
      </c>
    </row>
    <row r="21" spans="1:2" x14ac:dyDescent="0.25">
      <c r="A21" s="21">
        <v>6.3999999999999604</v>
      </c>
      <c r="B21" s="21">
        <v>0</v>
      </c>
    </row>
    <row r="22" spans="1:2" x14ac:dyDescent="0.25">
      <c r="A22" s="21">
        <v>6.4499999999999602</v>
      </c>
      <c r="B22" s="21">
        <v>2.220446049250321E-15</v>
      </c>
    </row>
    <row r="23" spans="1:2" x14ac:dyDescent="0.25">
      <c r="A23" s="21">
        <v>6.49999999999996</v>
      </c>
      <c r="B23" s="21">
        <v>2.4424906541753532E-14</v>
      </c>
    </row>
    <row r="24" spans="1:2" x14ac:dyDescent="0.25">
      <c r="A24" s="21">
        <v>6.5499999999999599</v>
      </c>
      <c r="B24" s="21">
        <v>3.796962744218049E-13</v>
      </c>
    </row>
    <row r="25" spans="1:2" x14ac:dyDescent="0.25">
      <c r="A25" s="21">
        <v>6.5999999999999597</v>
      </c>
      <c r="B25" s="21">
        <v>4.4564352208453945E-12</v>
      </c>
    </row>
    <row r="26" spans="1:2" x14ac:dyDescent="0.25">
      <c r="A26" s="21">
        <v>6.6499999999999595</v>
      </c>
      <c r="B26" s="21">
        <v>4.2954528822747462E-11</v>
      </c>
    </row>
    <row r="27" spans="1:2" x14ac:dyDescent="0.25">
      <c r="A27" s="21">
        <v>6.6999999999999593</v>
      </c>
      <c r="B27" s="21">
        <v>3.4497293910362838E-10</v>
      </c>
    </row>
    <row r="28" spans="1:2" x14ac:dyDescent="0.25">
      <c r="A28" s="21">
        <v>6.7499999999999591</v>
      </c>
      <c r="B28" s="21">
        <v>2.3410140492785641E-9</v>
      </c>
    </row>
    <row r="29" spans="1:2" x14ac:dyDescent="0.25">
      <c r="A29" s="21">
        <v>6.799999999999959</v>
      </c>
      <c r="B29" s="21">
        <v>1.3599108505957295E-8</v>
      </c>
    </row>
    <row r="30" spans="1:2" x14ac:dyDescent="0.25">
      <c r="A30" s="21">
        <v>6.8499999999999588</v>
      </c>
      <c r="B30" s="21">
        <v>6.8441912137729116E-8</v>
      </c>
    </row>
    <row r="31" spans="1:2" x14ac:dyDescent="0.25">
      <c r="A31" s="21">
        <v>6.8999999999999586</v>
      </c>
      <c r="B31" s="21">
        <v>3.0175698162438031E-7</v>
      </c>
    </row>
    <row r="32" spans="1:2" x14ac:dyDescent="0.25">
      <c r="A32" s="21">
        <v>6.9499999999999584</v>
      </c>
      <c r="B32" s="21">
        <v>1.1775091435239957E-6</v>
      </c>
    </row>
    <row r="33" spans="1:2" x14ac:dyDescent="0.25">
      <c r="A33" s="21">
        <v>6.9999999999999583</v>
      </c>
      <c r="B33" s="21">
        <v>4.1053508104127589E-6</v>
      </c>
    </row>
    <row r="34" spans="1:2" x14ac:dyDescent="0.25">
      <c r="A34" s="21">
        <v>7.0499999999999581</v>
      </c>
      <c r="B34" s="21">
        <v>1.2900528316706118E-5</v>
      </c>
    </row>
    <row r="35" spans="1:2" x14ac:dyDescent="0.25">
      <c r="A35" s="21">
        <v>7.0999999999999579</v>
      </c>
      <c r="B35" s="21">
        <v>3.6833004013470245E-5</v>
      </c>
    </row>
    <row r="36" spans="1:2" x14ac:dyDescent="0.25">
      <c r="A36" s="21">
        <v>7.1499999999999577</v>
      </c>
      <c r="B36" s="21">
        <v>9.626568149956361E-5</v>
      </c>
    </row>
    <row r="37" spans="1:2" x14ac:dyDescent="0.25">
      <c r="A37" s="21">
        <v>7.1999999999999575</v>
      </c>
      <c r="B37" s="21">
        <v>2.3189657812894363E-4</v>
      </c>
    </row>
    <row r="38" spans="1:2" x14ac:dyDescent="0.25">
      <c r="A38" s="21">
        <v>7.2499999999999574</v>
      </c>
      <c r="B38" s="21">
        <v>5.1815519472864409E-4</v>
      </c>
    </row>
    <row r="39" spans="1:2" x14ac:dyDescent="0.25">
      <c r="A39" s="21">
        <v>7.2999999999999572</v>
      </c>
      <c r="B39" s="21">
        <v>1.0802144962940336E-3</v>
      </c>
    </row>
    <row r="40" spans="1:2" x14ac:dyDescent="0.25">
      <c r="A40" s="21">
        <v>7.349999999999957</v>
      </c>
      <c r="B40" s="21">
        <v>2.1124704971331528E-3</v>
      </c>
    </row>
    <row r="41" spans="1:2" x14ac:dyDescent="0.25">
      <c r="A41" s="21">
        <v>7.3999999999999568</v>
      </c>
      <c r="B41" s="21">
        <v>3.8946327646205564E-3</v>
      </c>
    </row>
    <row r="42" spans="1:2" x14ac:dyDescent="0.25">
      <c r="A42" s="21">
        <v>7.4499999999999567</v>
      </c>
      <c r="B42" s="21">
        <v>6.8004070127547743E-3</v>
      </c>
    </row>
    <row r="43" spans="1:2" x14ac:dyDescent="0.25">
      <c r="A43" s="21">
        <v>7.4999999999999565</v>
      </c>
      <c r="B43" s="21">
        <v>1.1293759591433123E-2</v>
      </c>
    </row>
    <row r="44" spans="1:2" x14ac:dyDescent="0.25">
      <c r="A44" s="21">
        <v>7.5499999999999563</v>
      </c>
      <c r="B44" s="21">
        <v>1.7909246305789557E-2</v>
      </c>
    </row>
    <row r="45" spans="1:2" x14ac:dyDescent="0.25">
      <c r="A45" s="21">
        <v>7.5999999999999561</v>
      </c>
      <c r="B45" s="21">
        <v>2.7215683002350763E-2</v>
      </c>
    </row>
    <row r="46" spans="1:2" x14ac:dyDescent="0.25">
      <c r="A46" s="21">
        <v>7.6499999999999559</v>
      </c>
      <c r="B46" s="21">
        <v>3.9765877568300884E-2</v>
      </c>
    </row>
    <row r="47" spans="1:2" x14ac:dyDescent="0.25">
      <c r="A47" s="21">
        <v>7.6999999999999558</v>
      </c>
      <c r="B47" s="21">
        <v>5.6038323302196803E-2</v>
      </c>
    </row>
    <row r="48" spans="1:2" x14ac:dyDescent="0.25">
      <c r="A48" s="21">
        <v>7.7499999999999556</v>
      </c>
      <c r="B48" s="21">
        <v>7.63788239671917E-2</v>
      </c>
    </row>
    <row r="49" spans="1:2" x14ac:dyDescent="0.25">
      <c r="A49" s="21">
        <v>7.7999999999999554</v>
      </c>
      <c r="B49" s="21">
        <v>0.10095046760493701</v>
      </c>
    </row>
    <row r="50" spans="1:2" x14ac:dyDescent="0.25">
      <c r="A50" s="21">
        <v>7.8499999999999552</v>
      </c>
      <c r="B50" s="21">
        <v>0.12969914100023952</v>
      </c>
    </row>
    <row r="51" spans="1:2" x14ac:dyDescent="0.25">
      <c r="A51" s="21">
        <v>7.8999999999999551</v>
      </c>
      <c r="B51" s="21">
        <v>0.16233925836754151</v>
      </c>
    </row>
    <row r="52" spans="1:2" x14ac:dyDescent="0.25">
      <c r="A52" s="21">
        <v>7.9499999999999549</v>
      </c>
      <c r="B52" s="21">
        <v>0.19836120899601697</v>
      </c>
    </row>
    <row r="53" spans="1:2" x14ac:dyDescent="0.25">
      <c r="A53" s="21">
        <v>7.9999999999999547</v>
      </c>
      <c r="B53" s="21">
        <v>0.2370589061028347</v>
      </c>
    </row>
    <row r="54" spans="1:2" x14ac:dyDescent="0.25">
      <c r="A54" s="21">
        <v>8.0499999999999545</v>
      </c>
      <c r="B54" s="21">
        <v>0.27757331376472122</v>
      </c>
    </row>
    <row r="55" spans="1:2" x14ac:dyDescent="0.25">
      <c r="A55" s="21">
        <v>8.0999999999999552</v>
      </c>
      <c r="B55" s="21">
        <v>0.31894627954435639</v>
      </c>
    </row>
    <row r="56" spans="1:2" x14ac:dyDescent="0.25">
      <c r="A56" s="21">
        <v>8.1499999999999559</v>
      </c>
      <c r="B56" s="21">
        <v>0.36017849288754555</v>
      </c>
    </row>
    <row r="57" spans="1:2" x14ac:dyDescent="0.25">
      <c r="A57" s="21">
        <v>8.1999999999999567</v>
      </c>
      <c r="B57" s="21">
        <v>0.40028579965879596</v>
      </c>
    </row>
    <row r="58" spans="1:2" x14ac:dyDescent="0.25">
      <c r="A58" s="21">
        <v>8.2499999999999574</v>
      </c>
      <c r="B58" s="21">
        <v>0.43834917673060625</v>
      </c>
    </row>
    <row r="59" spans="1:2" x14ac:dyDescent="0.25">
      <c r="A59" s="21">
        <v>8.2999999999999581</v>
      </c>
      <c r="B59" s="21">
        <v>0.47355510577877341</v>
      </c>
    </row>
    <row r="60" spans="1:2" x14ac:dyDescent="0.25">
      <c r="A60" s="21">
        <v>8.3499999999999588</v>
      </c>
      <c r="B60" s="21">
        <v>0.50522460163596017</v>
      </c>
    </row>
    <row r="61" spans="1:2" x14ac:dyDescent="0.25">
      <c r="A61" s="21">
        <v>8.3999999999999595</v>
      </c>
      <c r="B61" s="21">
        <v>0.53283053023826099</v>
      </c>
    </row>
    <row r="62" spans="1:2" x14ac:dyDescent="0.25">
      <c r="A62" s="21">
        <v>8.4499999999999602</v>
      </c>
      <c r="B62" s="21">
        <v>0.55600395699295968</v>
      </c>
    </row>
    <row r="63" spans="1:2" x14ac:dyDescent="0.25">
      <c r="A63" s="21">
        <v>8.4999999999999609</v>
      </c>
      <c r="B63" s="21">
        <v>0.57453103797572358</v>
      </c>
    </row>
    <row r="64" spans="1:2" x14ac:dyDescent="0.25">
      <c r="A64" s="21">
        <v>8.5499999999999616</v>
      </c>
      <c r="B64" s="21">
        <v>0.58834240522852632</v>
      </c>
    </row>
    <row r="65" spans="1:2" x14ac:dyDescent="0.25">
      <c r="A65" s="21">
        <v>8.5999999999999623</v>
      </c>
      <c r="B65" s="21">
        <v>0.59749714675964727</v>
      </c>
    </row>
    <row r="66" spans="1:2" x14ac:dyDescent="0.25">
      <c r="A66" s="21">
        <v>8.6499999999999631</v>
      </c>
      <c r="B66" s="21">
        <v>0.60216340685603809</v>
      </c>
    </row>
    <row r="67" spans="1:2" x14ac:dyDescent="0.25">
      <c r="A67" s="21">
        <v>8.6999999999999638</v>
      </c>
      <c r="B67" s="21">
        <v>0.60259740422685037</v>
      </c>
    </row>
    <row r="68" spans="1:2" x14ac:dyDescent="0.25">
      <c r="A68" s="21">
        <v>8.7499999999999645</v>
      </c>
      <c r="B68" s="21">
        <v>0.59912235038215111</v>
      </c>
    </row>
    <row r="69" spans="1:2" x14ac:dyDescent="0.25">
      <c r="A69" s="21">
        <v>8.7999999999999652</v>
      </c>
      <c r="B69" s="21">
        <v>0.59210840305192125</v>
      </c>
    </row>
    <row r="70" spans="1:2" x14ac:dyDescent="0.25">
      <c r="A70" s="21">
        <v>8.8499999999999659</v>
      </c>
      <c r="B70" s="21">
        <v>0.58195444985742095</v>
      </c>
    </row>
    <row r="71" spans="1:2" x14ac:dyDescent="0.25">
      <c r="A71" s="21">
        <v>8.8999999999999666</v>
      </c>
      <c r="B71" s="21">
        <v>0.56907221252873919</v>
      </c>
    </row>
    <row r="72" spans="1:2" x14ac:dyDescent="0.25">
      <c r="A72" s="21">
        <v>8.9499999999999673</v>
      </c>
      <c r="B72" s="21">
        <v>0.5538729064350788</v>
      </c>
    </row>
    <row r="73" spans="1:2" x14ac:dyDescent="0.25">
      <c r="A73" s="21">
        <v>8.999999999999968</v>
      </c>
      <c r="B73" s="21">
        <v>0.53675648943171017</v>
      </c>
    </row>
    <row r="74" spans="1:2" x14ac:dyDescent="0.25">
      <c r="A74" s="21">
        <v>9.0499999999999687</v>
      </c>
      <c r="B74" s="21">
        <v>0.51810338678101187</v>
      </c>
    </row>
    <row r="75" spans="1:2" x14ac:dyDescent="0.25">
      <c r="A75" s="21">
        <v>9.0999999999999694</v>
      </c>
      <c r="B75" s="21">
        <v>0.49826847975238575</v>
      </c>
    </row>
    <row r="76" spans="1:2" x14ac:dyDescent="0.25">
      <c r="A76" s="21">
        <v>9.1499999999999702</v>
      </c>
      <c r="B76" s="21">
        <v>0.47757708683110678</v>
      </c>
    </row>
    <row r="77" spans="1:2" x14ac:dyDescent="0.25">
      <c r="A77" s="21">
        <v>9.1999999999999709</v>
      </c>
      <c r="B77" s="21">
        <v>0.45632263993209204</v>
      </c>
    </row>
    <row r="78" spans="1:2" x14ac:dyDescent="0.25">
      <c r="A78" s="21">
        <v>9.2499999999999716</v>
      </c>
      <c r="B78" s="21">
        <v>0.43476575555310198</v>
      </c>
    </row>
    <row r="79" spans="1:2" x14ac:dyDescent="0.25">
      <c r="A79" s="21">
        <v>9.2999999999999723</v>
      </c>
      <c r="B79" s="21">
        <v>0.4131344152110924</v>
      </c>
    </row>
    <row r="80" spans="1:2" x14ac:dyDescent="0.25">
      <c r="A80" s="21">
        <v>9.349999999999973</v>
      </c>
      <c r="B80" s="21">
        <v>0.39162499474010182</v>
      </c>
    </row>
    <row r="81" spans="1:2" x14ac:dyDescent="0.25">
      <c r="A81" s="21">
        <v>9.3999999999999737</v>
      </c>
      <c r="B81" s="21">
        <v>0.37040391327858663</v>
      </c>
    </row>
    <row r="82" spans="1:2" x14ac:dyDescent="0.25">
      <c r="A82" s="21">
        <v>9.4499999999999744</v>
      </c>
      <c r="B82" s="21">
        <v>0.34960970640175837</v>
      </c>
    </row>
    <row r="83" spans="1:2" x14ac:dyDescent="0.25">
      <c r="A83" s="21">
        <v>9.4999999999999751</v>
      </c>
      <c r="B83" s="21">
        <v>0.32935536125995735</v>
      </c>
    </row>
    <row r="84" spans="1:2" x14ac:dyDescent="0.25">
      <c r="A84" s="21">
        <v>9.5499999999999758</v>
      </c>
      <c r="B84" s="21">
        <v>0.30973078303052409</v>
      </c>
    </row>
    <row r="85" spans="1:2" x14ac:dyDescent="0.25">
      <c r="A85" s="21">
        <v>9.5999999999999766</v>
      </c>
      <c r="B85" s="21">
        <v>0.29080529042599534</v>
      </c>
    </row>
    <row r="86" spans="1:2" x14ac:dyDescent="0.25">
      <c r="A86" s="21">
        <v>9.6499999999999773</v>
      </c>
      <c r="B86" s="21">
        <v>0.27263006289410641</v>
      </c>
    </row>
    <row r="87" spans="1:2" x14ac:dyDescent="0.25">
      <c r="A87" s="21">
        <v>9.699999999999978</v>
      </c>
      <c r="B87" s="21">
        <v>0.25524048333792709</v>
      </c>
    </row>
    <row r="88" spans="1:2" x14ac:dyDescent="0.25">
      <c r="A88" s="21">
        <v>9.7499999999999787</v>
      </c>
      <c r="B88" s="21">
        <v>0.23865833777693907</v>
      </c>
    </row>
    <row r="89" spans="1:2" x14ac:dyDescent="0.25">
      <c r="A89" s="21">
        <v>9.7999999999999794</v>
      </c>
      <c r="B89" s="21">
        <v>0.2228938476240096</v>
      </c>
    </row>
    <row r="90" spans="1:2" x14ac:dyDescent="0.25">
      <c r="A90" s="21">
        <v>9.8499999999999801</v>
      </c>
      <c r="B90" s="21">
        <v>0.20794752152196433</v>
      </c>
    </row>
    <row r="91" spans="1:2" x14ac:dyDescent="0.25">
      <c r="A91" s="21">
        <v>9.8999999999999808</v>
      </c>
      <c r="B91" s="21">
        <v>0.19381182235901964</v>
      </c>
    </row>
    <row r="92" spans="1:2" x14ac:dyDescent="0.25">
      <c r="A92" s="21">
        <v>9.9499999999999815</v>
      </c>
      <c r="B92" s="21">
        <v>0.18047265156192893</v>
      </c>
    </row>
    <row r="93" spans="1:2" x14ac:dyDescent="0.25">
      <c r="A93" s="21">
        <v>9.9999999999999822</v>
      </c>
      <c r="B93" s="21">
        <v>0.16791065742539618</v>
      </c>
    </row>
    <row r="94" spans="1:2" x14ac:dyDescent="0.25">
      <c r="A94" s="21">
        <v>10.049999999999983</v>
      </c>
      <c r="B94" s="21">
        <v>0.16664185972625659</v>
      </c>
    </row>
    <row r="95" spans="1:2" x14ac:dyDescent="0.25">
      <c r="A95" s="21">
        <v>10.099999999999984</v>
      </c>
      <c r="B95" s="21">
        <v>0.15410658060657503</v>
      </c>
    </row>
    <row r="96" spans="1:2" x14ac:dyDescent="0.25">
      <c r="A96" s="21">
        <v>10.149999999999984</v>
      </c>
      <c r="B96" s="21">
        <v>0.14174592632536834</v>
      </c>
    </row>
    <row r="97" spans="1:2" x14ac:dyDescent="0.25">
      <c r="A97" s="21">
        <v>10.199999999999985</v>
      </c>
      <c r="B97" s="21">
        <v>0.13037670131122567</v>
      </c>
    </row>
    <row r="98" spans="1:2" x14ac:dyDescent="0.25">
      <c r="A98" s="21">
        <v>10.249999999999986</v>
      </c>
      <c r="B98" s="21">
        <v>0.11991938453157543</v>
      </c>
    </row>
    <row r="99" spans="1:2" x14ac:dyDescent="0.25">
      <c r="A99" s="21">
        <v>10.299999999999986</v>
      </c>
      <c r="B99" s="21">
        <v>0.11030083321484956</v>
      </c>
    </row>
    <row r="100" spans="1:2" x14ac:dyDescent="0.25">
      <c r="A100" s="21">
        <v>10.349999999999987</v>
      </c>
      <c r="B100" s="21">
        <v>0.10145377125986393</v>
      </c>
    </row>
    <row r="101" spans="1:2" x14ac:dyDescent="0.25">
      <c r="A101" s="21">
        <v>10.399999999999988</v>
      </c>
      <c r="B101" s="21">
        <v>9.3316318679114357E-2</v>
      </c>
    </row>
    <row r="102" spans="1:2" x14ac:dyDescent="0.25">
      <c r="A102" s="21">
        <v>10.449999999999989</v>
      </c>
      <c r="B102" s="21">
        <v>8.583155878471363E-2</v>
      </c>
    </row>
    <row r="103" spans="1:2" x14ac:dyDescent="0.25">
      <c r="A103" s="21">
        <v>10.499999999999989</v>
      </c>
      <c r="B103" s="21">
        <v>7.8947140089688353E-2</v>
      </c>
    </row>
    <row r="104" spans="1:2" x14ac:dyDescent="0.25">
      <c r="A104" s="21">
        <v>10.54999999999999</v>
      </c>
      <c r="B104" s="21">
        <v>7.2614910140146954E-2</v>
      </c>
    </row>
    <row r="105" spans="1:2" x14ac:dyDescent="0.25">
      <c r="A105" s="21">
        <v>10.599999999999991</v>
      </c>
      <c r="B105" s="21">
        <v>6.6790578717244614E-2</v>
      </c>
    </row>
    <row r="106" spans="1:2" x14ac:dyDescent="0.25">
      <c r="A106" s="21">
        <v>10.649999999999991</v>
      </c>
      <c r="B106" s="21">
        <v>6.1433408053176805E-2</v>
      </c>
    </row>
    <row r="107" spans="1:2" x14ac:dyDescent="0.25">
      <c r="A107" s="21">
        <v>10.699999999999992</v>
      </c>
      <c r="B107" s="21">
        <v>6.8394267029498607E-2</v>
      </c>
    </row>
    <row r="108" spans="1:2" x14ac:dyDescent="0.25">
      <c r="A108" s="21">
        <v>10.749999999999993</v>
      </c>
      <c r="B108" s="21">
        <v>8.2032281156497827E-2</v>
      </c>
    </row>
    <row r="109" spans="1:2" x14ac:dyDescent="0.25">
      <c r="A109" s="21">
        <v>10.799999999999994</v>
      </c>
      <c r="B109" s="21">
        <v>7.1453191195055235E-2</v>
      </c>
    </row>
    <row r="110" spans="1:2" x14ac:dyDescent="0.25">
      <c r="A110" s="21">
        <v>10.849999999999994</v>
      </c>
      <c r="B110" s="21">
        <v>6.2238407368155009E-2</v>
      </c>
    </row>
    <row r="111" spans="1:2" x14ac:dyDescent="0.25">
      <c r="A111" s="21">
        <v>10.899999999999995</v>
      </c>
      <c r="B111" s="21">
        <v>5.4211985314273063E-2</v>
      </c>
    </row>
    <row r="112" spans="1:2" x14ac:dyDescent="0.25">
      <c r="A112" s="21">
        <v>10.949999999999996</v>
      </c>
      <c r="B112" s="21">
        <v>4.7220670900696655E-2</v>
      </c>
    </row>
    <row r="113" spans="1:2" x14ac:dyDescent="0.25">
      <c r="A113" s="21">
        <v>10.999999999999996</v>
      </c>
      <c r="B113" s="21">
        <v>4.1130974034348171E-2</v>
      </c>
    </row>
    <row r="114" spans="1:2" x14ac:dyDescent="0.25">
      <c r="A114" s="21">
        <v>11.049999999999997</v>
      </c>
      <c r="B114" s="21">
        <v>3.5826619841380997E-2</v>
      </c>
    </row>
    <row r="115" spans="1:2" x14ac:dyDescent="0.25">
      <c r="A115" s="21">
        <v>11.099999999999998</v>
      </c>
      <c r="B115" s="21">
        <v>3.1206328549062905E-2</v>
      </c>
    </row>
    <row r="116" spans="1:2" x14ac:dyDescent="0.25">
      <c r="A116" s="21">
        <v>11.149999999999999</v>
      </c>
      <c r="B116" s="21">
        <v>3.0787723677361593E-2</v>
      </c>
    </row>
    <row r="117" spans="1:2" x14ac:dyDescent="0.25">
      <c r="A117" s="21">
        <v>11.2</v>
      </c>
      <c r="B117" s="21">
        <v>2.8147799377249774E-2</v>
      </c>
    </row>
    <row r="118" spans="1:2" x14ac:dyDescent="0.25">
      <c r="A118" s="21">
        <v>11.25</v>
      </c>
      <c r="B118" s="21">
        <v>2.3745792452208342E-2</v>
      </c>
    </row>
    <row r="119" spans="1:2" x14ac:dyDescent="0.25">
      <c r="A119" s="21">
        <v>11.3</v>
      </c>
      <c r="B119" s="21">
        <v>2.0032211102053679E-2</v>
      </c>
    </row>
    <row r="120" spans="1:2" x14ac:dyDescent="0.25">
      <c r="A120" s="21">
        <v>11.350000000000001</v>
      </c>
      <c r="B120" s="21">
        <v>1.6899393121747184E-2</v>
      </c>
    </row>
    <row r="121" spans="1:2" x14ac:dyDescent="0.25">
      <c r="A121" s="21">
        <v>11.400000000000002</v>
      </c>
      <c r="B121" s="21">
        <v>1.4256513493612644E-2</v>
      </c>
    </row>
    <row r="122" spans="1:2" x14ac:dyDescent="0.25">
      <c r="A122" s="21">
        <v>11.450000000000003</v>
      </c>
      <c r="B122" s="21">
        <v>1.1774172160956126E-2</v>
      </c>
    </row>
    <row r="123" spans="1:2" x14ac:dyDescent="0.25">
      <c r="A123" s="21">
        <v>11.500000000000004</v>
      </c>
      <c r="B123" s="21">
        <v>8.8338516303389462E-3</v>
      </c>
    </row>
    <row r="124" spans="1:2" x14ac:dyDescent="0.25">
      <c r="A124" s="21">
        <v>11.550000000000004</v>
      </c>
      <c r="B124" s="21">
        <v>7.6356777100415043E-3</v>
      </c>
    </row>
    <row r="125" spans="1:2" x14ac:dyDescent="0.25">
      <c r="A125" s="21">
        <v>11.600000000000005</v>
      </c>
      <c r="B125" s="21">
        <v>6.6000173572520176E-3</v>
      </c>
    </row>
    <row r="126" spans="1:2" x14ac:dyDescent="0.25">
      <c r="A126" s="21">
        <v>11.650000000000006</v>
      </c>
      <c r="B126" s="21">
        <v>5.7048281462617201E-3</v>
      </c>
    </row>
    <row r="127" spans="1:2" x14ac:dyDescent="0.25">
      <c r="A127" s="21">
        <v>11.700000000000006</v>
      </c>
      <c r="B127" s="21">
        <v>4.9310573619356758E-3</v>
      </c>
    </row>
    <row r="128" spans="1:2" x14ac:dyDescent="0.25">
      <c r="A128" s="21">
        <v>11.750000000000007</v>
      </c>
      <c r="B128" s="21">
        <v>4.262236492195118E-3</v>
      </c>
    </row>
    <row r="129" spans="1:2" x14ac:dyDescent="0.25">
      <c r="A129" s="21">
        <v>11.800000000000008</v>
      </c>
      <c r="B129" s="21">
        <v>3.6841307212595637E-3</v>
      </c>
    </row>
    <row r="130" spans="1:2" x14ac:dyDescent="0.25">
      <c r="A130" s="21">
        <v>11.850000000000009</v>
      </c>
      <c r="B130" s="21">
        <v>3.1844359636503125E-3</v>
      </c>
    </row>
    <row r="131" spans="1:2" x14ac:dyDescent="0.25">
      <c r="A131" s="21">
        <v>11.900000000000009</v>
      </c>
      <c r="B131" s="21">
        <v>2.6528603967574524E-3</v>
      </c>
    </row>
    <row r="132" spans="1:2" x14ac:dyDescent="0.25">
      <c r="A132" s="21">
        <v>11.95000000000001</v>
      </c>
      <c r="B132" s="21">
        <v>2.5176223389411557E-3</v>
      </c>
    </row>
    <row r="133" spans="1:2" x14ac:dyDescent="0.25">
      <c r="A133" s="21">
        <v>12.000000000000011</v>
      </c>
      <c r="B133" s="21">
        <v>2.5902452328362461E-3</v>
      </c>
    </row>
    <row r="134" spans="1:2" x14ac:dyDescent="0.25">
      <c r="A134" s="21">
        <v>12.050000000000011</v>
      </c>
      <c r="B134" s="21">
        <v>2.1465968507216487E-3</v>
      </c>
    </row>
    <row r="135" spans="1:2" x14ac:dyDescent="0.25">
      <c r="A135" s="21">
        <v>12.100000000000012</v>
      </c>
      <c r="B135" s="21">
        <v>1.778935052602348E-3</v>
      </c>
    </row>
    <row r="136" spans="1:2" x14ac:dyDescent="0.25">
      <c r="A136" s="21">
        <v>12.150000000000013</v>
      </c>
      <c r="B136" s="21">
        <v>1.474245115152051E-3</v>
      </c>
    </row>
    <row r="137" spans="1:2" x14ac:dyDescent="0.25">
      <c r="A137" s="21">
        <v>12.200000000000014</v>
      </c>
      <c r="B137" s="21">
        <v>2.1156118073915749E-3</v>
      </c>
    </row>
    <row r="138" spans="1:2" x14ac:dyDescent="0.25">
      <c r="A138" s="21">
        <v>12.250000000000014</v>
      </c>
      <c r="B138" s="21">
        <v>1.4893573039431939E-3</v>
      </c>
    </row>
    <row r="139" spans="1:2" x14ac:dyDescent="0.25">
      <c r="A139" s="21">
        <v>12.300000000000015</v>
      </c>
      <c r="B139" s="21">
        <v>1.0218150727979301E-3</v>
      </c>
    </row>
    <row r="140" spans="1:2" x14ac:dyDescent="0.25">
      <c r="A140" s="21">
        <v>12.350000000000016</v>
      </c>
      <c r="B140" s="21">
        <v>1.0776195682843895E-3</v>
      </c>
    </row>
    <row r="141" spans="1:2" x14ac:dyDescent="0.25">
      <c r="A141" s="21">
        <v>12.400000000000016</v>
      </c>
      <c r="B141" s="21">
        <v>4.4909585901617313E-4</v>
      </c>
    </row>
    <row r="142" spans="1:2" x14ac:dyDescent="0.25">
      <c r="A142" s="21">
        <v>12.450000000000017</v>
      </c>
      <c r="B142" s="21">
        <v>3.0793205101492413E-4</v>
      </c>
    </row>
    <row r="143" spans="1:2" x14ac:dyDescent="0.25">
      <c r="A143" s="21">
        <v>12.500000000000018</v>
      </c>
      <c r="B143" s="21">
        <v>5.7331935970621575E-4</v>
      </c>
    </row>
    <row r="144" spans="1:2" x14ac:dyDescent="0.25">
      <c r="A144" s="21">
        <v>12.550000000000018</v>
      </c>
      <c r="B144" s="21">
        <v>6.6005861187877943E-5</v>
      </c>
    </row>
    <row r="145" spans="1:2" x14ac:dyDescent="0.25">
      <c r="A145" s="21">
        <v>12.600000000000019</v>
      </c>
      <c r="B145" s="21">
        <v>2.1728714314494771E-5</v>
      </c>
    </row>
    <row r="146" spans="1:2" x14ac:dyDescent="0.25">
      <c r="A146" s="21">
        <v>12.65000000000002</v>
      </c>
      <c r="B146" s="21">
        <v>7.1529455514251033E-6</v>
      </c>
    </row>
    <row r="147" spans="1:2" x14ac:dyDescent="0.25">
      <c r="A147" s="21">
        <v>12.700000000000021</v>
      </c>
      <c r="B147" s="21">
        <v>2.3547000771450775E-6</v>
      </c>
    </row>
    <row r="148" spans="1:2" x14ac:dyDescent="0.25">
      <c r="A148" s="21">
        <v>12.750000000000021</v>
      </c>
      <c r="B148" s="21">
        <v>7.7515081464695222E-7</v>
      </c>
    </row>
    <row r="149" spans="1:2" x14ac:dyDescent="0.25">
      <c r="A149" s="21">
        <v>12.800000000000022</v>
      </c>
      <c r="B149" s="21">
        <v>2.5517421953224679E-7</v>
      </c>
    </row>
    <row r="150" spans="1:2" x14ac:dyDescent="0.25">
      <c r="A150" s="21">
        <v>12.850000000000023</v>
      </c>
      <c r="B150" s="21">
        <v>8.4001565703316547E-8</v>
      </c>
    </row>
    <row r="151" spans="1:2" x14ac:dyDescent="0.25">
      <c r="A151" s="21">
        <v>12.900000000000023</v>
      </c>
      <c r="B151" s="21">
        <v>2.7652724554627245E-8</v>
      </c>
    </row>
    <row r="152" spans="1:2" x14ac:dyDescent="0.25">
      <c r="A152" s="21">
        <v>12.950000000000024</v>
      </c>
      <c r="B152" s="21">
        <v>9.1030849524996557E-9</v>
      </c>
    </row>
    <row r="153" spans="1:2" x14ac:dyDescent="0.25">
      <c r="A153" s="21">
        <v>13.000000000000025</v>
      </c>
      <c r="B153" s="21">
        <v>2.9966695791471949E-9</v>
      </c>
    </row>
    <row r="154" spans="1:2" x14ac:dyDescent="0.25">
      <c r="A154" s="21">
        <v>13.050000000000026</v>
      </c>
      <c r="B154" s="21">
        <v>9.8648422763857028E-10</v>
      </c>
    </row>
    <row r="155" spans="1:2" x14ac:dyDescent="0.25">
      <c r="A155" s="21">
        <v>13.100000000000026</v>
      </c>
      <c r="B155" s="21">
        <v>3.2474245514890294E-10</v>
      </c>
    </row>
    <row r="156" spans="1:2" x14ac:dyDescent="0.25">
      <c r="A156" s="21">
        <v>13.150000000000027</v>
      </c>
      <c r="B156" s="21">
        <v>1.069033750411548E-10</v>
      </c>
    </row>
    <row r="157" spans="1:2" x14ac:dyDescent="0.25">
      <c r="A157" s="21">
        <v>13.200000000000028</v>
      </c>
      <c r="B157" s="21">
        <v>3.5191849434567714E-11</v>
      </c>
    </row>
    <row r="158" spans="1:2" x14ac:dyDescent="0.25">
      <c r="A158" s="21">
        <v>13.250000000000028</v>
      </c>
      <c r="B158" s="21">
        <v>1.1586287484987969E-11</v>
      </c>
    </row>
    <row r="159" spans="1:2" x14ac:dyDescent="0.25">
      <c r="A159" s="21">
        <v>13.300000000000029</v>
      </c>
      <c r="B159" s="21">
        <v>3.8125058665627334E-12</v>
      </c>
    </row>
    <row r="160" spans="1:2" x14ac:dyDescent="0.25">
      <c r="A160" s="21">
        <v>13.35000000000003</v>
      </c>
      <c r="B160" s="21">
        <v>1.2567724638756594E-12</v>
      </c>
    </row>
    <row r="161" spans="1:2" x14ac:dyDescent="0.25">
      <c r="A161" s="21">
        <v>13.400000000000031</v>
      </c>
      <c r="B161" s="21">
        <v>4.1300296516055238E-13</v>
      </c>
    </row>
    <row r="162" spans="1:2" x14ac:dyDescent="0.25">
      <c r="A162" s="21">
        <v>13.450000000000031</v>
      </c>
      <c r="B162" s="21">
        <v>1.3544720900426718E-13</v>
      </c>
    </row>
    <row r="163" spans="1:2" x14ac:dyDescent="0.25">
      <c r="A163" s="21">
        <v>13.500000000000032</v>
      </c>
      <c r="B163" s="21">
        <v>6.6613381477508446E-14</v>
      </c>
    </row>
    <row r="164" spans="1:2" x14ac:dyDescent="0.25">
      <c r="A164" s="21">
        <v>13.550000000000033</v>
      </c>
      <c r="B164" s="21">
        <v>0</v>
      </c>
    </row>
    <row r="165" spans="1:2" x14ac:dyDescent="0.25">
      <c r="A165" s="21">
        <v>13.600000000000033</v>
      </c>
      <c r="B165" s="21">
        <v>0</v>
      </c>
    </row>
    <row r="166" spans="1:2" x14ac:dyDescent="0.25">
      <c r="A166" s="21">
        <v>13.650000000000034</v>
      </c>
      <c r="B166" s="21">
        <v>0</v>
      </c>
    </row>
    <row r="167" spans="1:2" x14ac:dyDescent="0.25">
      <c r="A167" s="21">
        <v>13.700000000000035</v>
      </c>
      <c r="B167" s="21">
        <v>0</v>
      </c>
    </row>
    <row r="168" spans="1:2" x14ac:dyDescent="0.25">
      <c r="A168" s="21">
        <v>13.750000000000036</v>
      </c>
      <c r="B168" s="21">
        <v>0</v>
      </c>
    </row>
    <row r="169" spans="1:2" x14ac:dyDescent="0.25">
      <c r="A169" s="21">
        <v>13.800000000000036</v>
      </c>
      <c r="B169" s="21">
        <v>0</v>
      </c>
    </row>
    <row r="170" spans="1:2" x14ac:dyDescent="0.25">
      <c r="A170" s="21">
        <v>13.850000000000037</v>
      </c>
      <c r="B170" s="21">
        <v>0</v>
      </c>
    </row>
    <row r="171" spans="1:2" x14ac:dyDescent="0.25">
      <c r="A171" s="21">
        <v>13.900000000000038</v>
      </c>
      <c r="B171" s="21">
        <v>0</v>
      </c>
    </row>
    <row r="172" spans="1:2" x14ac:dyDescent="0.25">
      <c r="A172" s="21">
        <v>13.950000000000038</v>
      </c>
      <c r="B172" s="21">
        <v>0</v>
      </c>
    </row>
    <row r="173" spans="1:2" x14ac:dyDescent="0.25">
      <c r="A173" s="21">
        <v>14.000000000000039</v>
      </c>
      <c r="B173" s="21">
        <v>0</v>
      </c>
    </row>
    <row r="174" spans="1:2" x14ac:dyDescent="0.25">
      <c r="A174" s="21">
        <v>14.05000000000004</v>
      </c>
      <c r="B174" s="21">
        <v>0</v>
      </c>
    </row>
    <row r="175" spans="1:2" x14ac:dyDescent="0.25">
      <c r="A175" s="21">
        <v>14.100000000000041</v>
      </c>
      <c r="B175" s="21">
        <v>0</v>
      </c>
    </row>
    <row r="176" spans="1:2" x14ac:dyDescent="0.25">
      <c r="A176" s="21">
        <v>14.150000000000041</v>
      </c>
      <c r="B176" s="21">
        <v>0</v>
      </c>
    </row>
    <row r="177" spans="1:2" x14ac:dyDescent="0.25">
      <c r="A177" s="21">
        <v>14.200000000000042</v>
      </c>
      <c r="B177" s="21">
        <v>0</v>
      </c>
    </row>
    <row r="178" spans="1:2" x14ac:dyDescent="0.25">
      <c r="A178" s="21">
        <v>14.250000000000043</v>
      </c>
      <c r="B178" s="2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6" ma:contentTypeDescription="WSRL Document CB" ma:contentTypeScope="" ma:versionID="88fe53b6e98c5417adee0db248f913ae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d69b3a9fc9dd1d280a5efa296263df0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fbc03d-db26-4301-8719-99148ee26221">
      <Terms xmlns="http://schemas.microsoft.com/office/infopath/2007/PartnerControls"/>
    </lcf76f155ced4ddcb4097134ff3c332f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TaxCatchAll xmlns="338e11dd-9b15-475b-8471-fcb79439c886">
      <Value>2</Value>
      <Value>1</Value>
    </TaxCatchAll>
    <_dlc_DocId xmlns="338e11dd-9b15-475b-8471-fcb79439c886">CBPJ-627581585-33370</_dlc_DocId>
    <_dlc_DocIdUrl xmlns="338e11dd-9b15-475b-8471-fcb79439c886">
      <Url>https://wsrlnl.sharepoint.com/sites/CBPR-ydjk6ItuUw/_layouts/15/DocIdRedir.aspx?ID=CBPJ-627581585-33370</Url>
      <Description>CBPJ-627581585-33370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38CF7A-8662-4303-935C-7BE86E2888F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691F1F7-72B1-41D9-8657-9C07AFE6A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A96AA6-3687-4803-9D38-8F86AB3B850C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338e11dd-9b15-475b-8471-fcb79439c886"/>
    <ds:schemaRef ds:uri="http://purl.org/dc/elements/1.1/"/>
    <ds:schemaRef ds:uri="http://schemas.microsoft.com/office/infopath/2007/PartnerControls"/>
    <ds:schemaRef ds:uri="edfbc03d-db26-4301-8719-99148ee26221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8F48322-4FD1-4D94-BEE5-6BE781D245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scenario1</vt:lpstr>
      <vt:lpstr>FP_overslag</vt:lpstr>
      <vt:lpstr>FP_dierlijkegraverij</vt:lpstr>
      <vt:lpstr>hfeq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Kapinga, Sander</dc:creator>
  <cp:keywords/>
  <dc:description/>
  <cp:lastModifiedBy>Kapinga, Sander</cp:lastModifiedBy>
  <cp:revision/>
  <dcterms:created xsi:type="dcterms:W3CDTF">2025-11-27T16:28:33Z</dcterms:created>
  <dcterms:modified xsi:type="dcterms:W3CDTF">2025-12-19T11:22:38Z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98f0346b-1cf1-43d0-8db8-03c5d5175aa4</vt:lpwstr>
  </property>
</Properties>
</file>