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"/>
    </mc:Choice>
  </mc:AlternateContent>
  <xr:revisionPtr revIDLastSave="0" documentId="13_ncr:1_{8800F3CF-3819-41CD-8898-67C60A61D421}" xr6:coauthVersionLast="47" xr6:coauthVersionMax="47" xr10:uidLastSave="{00000000-0000-0000-0000-000000000000}"/>
  <bookViews>
    <workbookView xWindow="-120" yWindow="-120" windowWidth="29040" windowHeight="15720" xr2:uid="{AD979432-8D0D-462C-972B-AB828F23136F}"/>
  </bookViews>
  <sheets>
    <sheet name="scenario1" sheetId="1" r:id="rId1"/>
    <sheet name="FP_overslag" sheetId="2" r:id="rId2"/>
    <sheet name="FP_graverij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31" i="1" a="1"/>
  <c r="C32" i="1" a="1"/>
  <c r="C33" i="1" a="1"/>
  <c r="H26" i="1"/>
  <c r="C30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C27" i="1" a="1"/>
  <c r="C28" i="1" a="1"/>
  <c r="C29" i="1" a="1"/>
  <c r="C2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<sst xmlns="http://schemas.openxmlformats.org/spreadsheetml/2006/main" count="62" uniqueCount="50">
  <si>
    <t>Template:</t>
  </si>
  <si>
    <t>AW172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</si>
  <si>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</si>
  <si>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</si>
  <si>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</si>
  <si>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</si>
  <si>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</si>
  <si>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</si>
  <si>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</si>
  <si>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</si>
  <si>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</si>
  <si>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</si>
  <si>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</si>
  <si>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</si>
  <si>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</si>
  <si>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Knoop_ID</t>
  </si>
  <si>
    <t>Overslag</t>
  </si>
  <si>
    <t>nee</t>
  </si>
  <si>
    <t>Groot glijvlak</t>
  </si>
  <si>
    <t>h</t>
  </si>
  <si>
    <t>of Pf|h of Beta|h invullen</t>
  </si>
  <si>
    <t>Berekening / controle</t>
  </si>
  <si>
    <t>Faalpad_ID</t>
  </si>
  <si>
    <t>Gebeurtenis_naam</t>
  </si>
  <si>
    <t>Pf uit Beta</t>
  </si>
  <si>
    <t>Beta uit Pf</t>
  </si>
  <si>
    <t>Metadata</t>
  </si>
  <si>
    <t>Faalpadkansen</t>
  </si>
  <si>
    <t>scenario1</t>
  </si>
  <si>
    <t>test</t>
  </si>
  <si>
    <t>groene_kering</t>
  </si>
  <si>
    <t>hr01</t>
  </si>
  <si>
    <t>Indirect_mechanisme</t>
  </si>
  <si>
    <t>Initiele_gebeurtenis</t>
  </si>
  <si>
    <t>Vervolggebeurtenis_2</t>
  </si>
  <si>
    <t>Vervolggebeurtenis_1</t>
  </si>
  <si>
    <t>Vervolggebeurtenis_3</t>
  </si>
  <si>
    <t>Vervolggebeurtenis_4</t>
  </si>
  <si>
    <t>Vervolggebeurtenis_5</t>
  </si>
  <si>
    <t>Vervolggebeurtenis_6</t>
  </si>
  <si>
    <t>Vervolggebeurtenis_7</t>
  </si>
  <si>
    <t>Pf_h</t>
  </si>
  <si>
    <t>Beta_h</t>
  </si>
  <si>
    <t>Faalpadschema</t>
  </si>
  <si>
    <t>Klein glijvlak</t>
  </si>
  <si>
    <t>vervolgmechanisme</t>
  </si>
  <si>
    <t>Kruindaling zodanig dat overstroming optreedt</t>
  </si>
  <si>
    <t>dierlijke graverij</t>
  </si>
  <si>
    <t>Groot glijvlak | dierlijke graverij</t>
  </si>
  <si>
    <t>Kruindaling zodanig dat overstroming optreedt | dierlijke graverij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</si>
</sst>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2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11" fontId="2" fillId="2" borderId="11" xfId="2" applyNumberFormat="1" applyBorder="1"/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Invoer" xfId="2" builtinId="20"/>
    <cellStyle name="Kop 1" xfId="1" builtinId="16"/>
    <cellStyle name="Standaard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91146-E96B-4716-BE45-053EEC2F2E2D}" name="FaalpadenGegevenScenario" displayName="FaalpadenGegevenScenario" ref="A12:K20" totalsRowShown="0" headerRowDxfId="10" dataDxfId="9">
  <autoFilter ref="A12:K20" xr:uid="{2FC91146-E96B-4716-BE45-053EEC2F2E2D}"/>
  <tableColumns count="11">
    <tableColumn id="1" xr3:uid="{74C1F1E8-DAD6-4B2C-9543-F6F1A1835751}" name="Faalpad_ID" dataDxfId="8"/>
    <tableColumn id="2" xr3:uid="{562B602A-D065-4766-B682-77EE4582DBC6}" name="Overslag"/>
    <tableColumn id="3" xr3:uid="{75BC9CE4-719D-425A-966F-23AB491AB455}" name="Indirect_mechanisme"/>
    <tableColumn id="4" xr3:uid="{7CCE59A5-AC15-497C-97BE-DCE37155ED74}" name="Initiele_gebeurtenis" dataDxfId="7"/>
    <tableColumn id="5" xr3:uid="{0758C2A8-3B00-4C3E-AB6F-43F0B283C256}" name="Vervolggebeurtenis_1" dataDxfId="6"/>
    <tableColumn id="6" xr3:uid="{88181758-A771-4811-B4D8-A90B0ED7EDF7}" name="Vervolggebeurtenis_2" dataDxfId="5"/>
    <tableColumn id="7" xr3:uid="{D9FF46D3-291A-440E-A199-DF9DED13CBFC}" name="Vervolggebeurtenis_3" dataDxfId="4"/>
    <tableColumn id="8" xr3:uid="{1D4E824A-E4C6-4265-A169-D49C4A5EC9AF}" name="Vervolggebeurtenis_4" dataDxfId="3"/>
    <tableColumn id="9" xr3:uid="{C368E4F2-CEC9-4911-8923-9F9BA2174CEF}" name="Vervolggebeurtenis_5" dataDxfId="2"/>
    <tableColumn id="10" xr3:uid="{CA379130-9765-4681-A388-B44689C08520}" name="Vervolggebeurtenis_6" dataDxfId="1"/>
    <tableColumn id="11" xr3:uid="{982B820E-7176-428C-8ADF-A8C3BEA032F8}" name="Vervolggebeurtenis_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B7921-7D66-4250-A1D1-08B54A97C7CE}" name="FCPunten" displayName="FCPunten" ref="A25:H60" totalsRowShown="0">
  <autoFilter ref="A25:H60" xr:uid="{050B7921-7D66-4250-A1D1-08B54A97C7CE}"/>
  <tableColumns count="8">
    <tableColumn id="1" xr3:uid="{AD1BE175-DC04-421D-9759-BF085DBEE115}" name="Faalpad_ID"/>
    <tableColumn id="2" xr3:uid="{7DE1B7D0-ABF1-4D79-A45A-4118EFE50A33}" name="Knoop_ID"/>
    <tableColumn id="3" xr3:uid="{8213DBAC-51CB-419E-93E9-A71EAC48A9A7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72A8801D-707E-4789-A501-E4253EDCD0DB}" name="h"/>
    <tableColumn id="5" xr3:uid="{EE09B940-6A75-47D3-A76A-05C3D1A0EE8B}" name="Pf_h"/>
    <tableColumn id="6" xr3:uid="{B6B4A0C9-16F1-4156-8DF1-DE968A6BAA9D}" name="Beta_h"/>
    <tableColumn id="7" xr3:uid="{27CFCDB6-9938-43CC-B1F0-72A842A8FD53}" name="Pf uit Beta">
      <calculatedColumnFormula>IF(FCPunten[[#This Row],[Beta_h]]="","",_xlfn.NORM.S.DIST(-1*FCPunten[[#This Row],[Beta_h]],TRUE))</calculatedColumnFormula>
    </tableColumn>
    <tableColumn id="8" xr3:uid="{C0440ADD-4F72-4291-AFC4-B70E9BA537DE}" name="Beta uit Pf">
      <calculatedColumnFormula>IF(FCPunten[[#This Row],[Pf_h]]="", "",-_xlfn.NORM.S.INV(FCPunten[[#This Row],[Pf_h]]))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6C6F-F461-456A-80C1-D38C6F61A2F7}">
  <dimension ref="A1:M60"/>
  <sheetViews>
    <sheetView tabSelected="1" topLeftCell="A19" zoomScale="115" zoomScaleNormal="115" workbookViewId="0">
      <selection activeCell="B47" sqref="B47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3" ht="20.25" thickBot="1" x14ac:dyDescent="0.35">
      <c r="A1" s="1" t="s">
        <v>0</v>
      </c>
      <c r="B1" s="1" t="s">
        <v>1</v>
      </c>
    </row>
    <row r="2" spans="1:13" ht="15.75" thickTop="1" x14ac:dyDescent="0.25"/>
    <row r="4" spans="1:13" x14ac:dyDescent="0.25">
      <c r="A4" s="20" t="s">
        <v>26</v>
      </c>
      <c r="B4" s="20"/>
    </row>
    <row r="5" spans="1:13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4" t="s">
        <v>14</v>
      </c>
    </row>
    <row r="6" spans="1:13" x14ac:dyDescent="0.25">
      <c r="A6" s="5"/>
      <c r="B6" s="6"/>
      <c r="C6" s="6"/>
      <c r="D6" s="6">
        <v>1</v>
      </c>
      <c r="E6" s="6" t="s">
        <v>29</v>
      </c>
      <c r="F6" s="6">
        <v>100</v>
      </c>
      <c r="G6" s="6" t="s">
        <v>30</v>
      </c>
      <c r="H6" s="6" t="s">
        <v>30</v>
      </c>
      <c r="I6" s="6" t="s">
        <v>28</v>
      </c>
      <c r="J6" s="7">
        <v>0.1</v>
      </c>
      <c r="K6" s="7"/>
      <c r="L6" s="7"/>
      <c r="M6" s="8" t="s">
        <v>31</v>
      </c>
    </row>
    <row r="11" spans="1:13" x14ac:dyDescent="0.25">
      <c r="A11" s="21" t="s">
        <v>43</v>
      </c>
      <c r="B11" s="21"/>
      <c r="C11" t="s">
        <v>15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9">
        <v>6</v>
      </c>
      <c r="J11" s="9">
        <v>7</v>
      </c>
      <c r="K11" s="9">
        <v>8</v>
      </c>
    </row>
    <row r="12" spans="1:13" ht="30" x14ac:dyDescent="0.25">
      <c r="A12" t="s">
        <v>22</v>
      </c>
      <c r="B12" t="s">
        <v>16</v>
      </c>
      <c r="C12" t="s">
        <v>32</v>
      </c>
      <c r="D12" s="10" t="s">
        <v>33</v>
      </c>
      <c r="E12" s="10" t="s">
        <v>35</v>
      </c>
      <c r="F12" s="10" t="s">
        <v>34</v>
      </c>
      <c r="G12" s="10" t="s">
        <v>36</v>
      </c>
      <c r="H12" s="10" t="s">
        <v>37</v>
      </c>
      <c r="I12" s="10" t="s">
        <v>38</v>
      </c>
      <c r="J12" s="10" t="s">
        <v>39</v>
      </c>
      <c r="K12" s="10" t="s">
        <v>40</v>
      </c>
    </row>
    <row r="13" spans="1:13" ht="60" x14ac:dyDescent="0.25">
      <c r="A13" s="9">
        <v>1</v>
      </c>
      <c r="B13" t="s">
        <v>17</v>
      </c>
      <c r="C13" t="s">
        <v>17</v>
      </c>
      <c r="D13" s="10" t="s">
        <v>18</v>
      </c>
      <c r="E13" s="10" t="s">
        <v>46</v>
      </c>
      <c r="F13" s="10"/>
      <c r="G13" s="10"/>
      <c r="H13" s="10"/>
      <c r="I13" s="10"/>
      <c r="J13" s="10"/>
      <c r="K13" s="10"/>
    </row>
    <row r="14" spans="1:13" ht="60" x14ac:dyDescent="0.25">
      <c r="A14" s="9">
        <v>2</v>
      </c>
      <c r="B14" t="s">
        <v>17</v>
      </c>
      <c r="C14" t="s">
        <v>17</v>
      </c>
      <c r="D14" s="10" t="s">
        <v>44</v>
      </c>
      <c r="E14" s="10" t="s">
        <v>45</v>
      </c>
      <c r="F14" s="10" t="s">
        <v>46</v>
      </c>
      <c r="G14" s="10"/>
      <c r="H14" s="10"/>
      <c r="I14" s="10"/>
      <c r="J14" s="10"/>
      <c r="K14" s="10"/>
    </row>
    <row r="15" spans="1:13" ht="75" x14ac:dyDescent="0.25">
      <c r="A15" s="9">
        <v>3</v>
      </c>
      <c r="B15" t="s">
        <v>17</v>
      </c>
      <c r="C15" t="s">
        <v>47</v>
      </c>
      <c r="D15" s="10" t="s">
        <v>48</v>
      </c>
      <c r="E15" s="10" t="s">
        <v>49</v>
      </c>
      <c r="F15" s="10"/>
      <c r="G15" s="10"/>
      <c r="H15" s="10"/>
      <c r="I15" s="10"/>
      <c r="J15" s="10"/>
      <c r="K15" s="10"/>
    </row>
    <row r="16" spans="1:13" x14ac:dyDescent="0.25">
      <c r="A16" s="9">
        <v>4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>
        <v>5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9">
        <v>6</v>
      </c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9">
        <v>7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9">
        <v>8</v>
      </c>
      <c r="D20" s="10"/>
      <c r="E20" s="10"/>
      <c r="F20" s="10"/>
      <c r="G20" s="10"/>
      <c r="H20" s="10"/>
      <c r="I20" s="10"/>
      <c r="J20" s="10"/>
      <c r="K20" s="10"/>
    </row>
    <row r="24" spans="1:11" x14ac:dyDescent="0.25">
      <c r="A24" s="21" t="s">
        <v>27</v>
      </c>
      <c r="B24" s="21"/>
      <c r="E24" t="s">
        <v>20</v>
      </c>
      <c r="G24" t="s">
        <v>21</v>
      </c>
    </row>
    <row r="25" spans="1:11" x14ac:dyDescent="0.25">
      <c r="A25" t="s">
        <v>22</v>
      </c>
      <c r="B25" t="s">
        <v>15</v>
      </c>
      <c r="C25" t="s">
        <v>23</v>
      </c>
      <c r="D25" t="s">
        <v>19</v>
      </c>
      <c r="E25" t="s">
        <v>41</v>
      </c>
      <c r="F25" t="s">
        <v>42</v>
      </c>
      <c r="G25" t="s">
        <v>24</v>
      </c>
      <c r="H25" t="s">
        <v>25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>Groot glijvlak</v>
      </c>
      <c r="D26">
        <v>3</v>
      </c>
      <c r="F26">
        <v>5</v>
      </c>
      <c r="G26">
        <f>IF(FCPunten[[#This Row],[Beta_h]]="","",_xlfn.NORM.S.DIST(-1*FCPunten[[#This Row],[Beta_h]],TRUE))</f>
        <v>2.8665157187919333E-7</v>
      </c>
      <c r="H26" s="17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 cm="1">
        <f t="array" ref="C27">IF(SUM(FCPunten[[#This Row],[Faalpad_ID]:[Knoop_ID]])&gt;=2,INDEX(FaalpadenGegevenScenario[[Initiele_gebeurtenis]:[Vervolggebeurtenis_7]],FCPunten[[#This Row],[Faalpad_ID]],FCPunten[[#This Row],[Knoop_ID]]),"")</f>
        <v>Groot glijvlak</v>
      </c>
      <c r="D27">
        <v>4</v>
      </c>
      <c r="F27">
        <v>4</v>
      </c>
      <c r="G27">
        <f>IF(FCPunten[[#This Row],[Beta_h]]="","",_xlfn.NORM.S.DIST(-1*FCPunten[[#This Row],[Beta_h]],TRUE))</f>
        <v>3.1671241833119857E-5</v>
      </c>
      <c r="H27" s="17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 cm="1">
        <f t="array" ref="C28">IF(SUM(FCPunten[[#This Row],[Faalpad_ID]:[Knoop_ID]])&gt;=2,INDEX(FaalpadenGegevenScenario[[Initiele_gebeurtenis]:[Vervolggebeurtenis_7]],FCPunten[[#This Row],[Faalpad_ID]],FCPunten[[#This Row],[Knoop_ID]]),"")</f>
        <v>Groot glijvlak</v>
      </c>
      <c r="D28">
        <v>5</v>
      </c>
      <c r="F28">
        <v>3</v>
      </c>
      <c r="G28">
        <f>IF(FCPunten[[#This Row],[Beta_h]]="","",_xlfn.NORM.S.DIST(-1*FCPunten[[#This Row],[Beta_h]],TRUE))</f>
        <v>1.3498980316300933E-3</v>
      </c>
      <c r="H28" s="17" t="str">
        <f>IF(FCPunten[[#This Row],[Pf_h]]="", "",-_xlfn.NORM.S.INV(FCPunten[[#This Row],[Pf_h]]))</f>
        <v/>
      </c>
    </row>
    <row r="29" spans="1:11" x14ac:dyDescent="0.25">
      <c r="A29">
        <v>1</v>
      </c>
      <c r="B29">
        <v>2</v>
      </c>
      <c r="C29" t="str" cm="1">
        <f t="array" ref="C29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29">
        <v>3</v>
      </c>
      <c r="E29">
        <v>0.5</v>
      </c>
      <c r="G29" t="str">
        <f>IF(FCPunten[[#This Row],[Beta_h]]="","",_xlfn.NORM.S.DIST(-1*FCPunten[[#This Row],[Beta_h]],TRUE))</f>
        <v/>
      </c>
      <c r="H29" s="17">
        <f>IF(FCPunten[[#This Row],[Pf_h]]="", "",-_xlfn.NORM.S.INV(FCPunten[[#This Row],[Pf_h]]))</f>
        <v>0</v>
      </c>
    </row>
    <row r="30" spans="1:11" x14ac:dyDescent="0.25">
      <c r="A30">
        <v>1</v>
      </c>
      <c r="B30">
        <v>2</v>
      </c>
      <c r="C30" t="str" cm="1">
        <f t="array" ref="C30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0">
        <v>4</v>
      </c>
      <c r="E30">
        <v>0.99999000000000005</v>
      </c>
      <c r="G30" t="str">
        <f>IF(FCPunten[[#This Row],[Beta_h]]="","",_xlfn.NORM.S.DIST(-1*FCPunten[[#This Row],[Beta_h]],TRUE))</f>
        <v/>
      </c>
      <c r="H30" s="17">
        <f>IF(FCPunten[[#This Row],[Pf_h]]="", "",-_xlfn.NORM.S.INV(FCPunten[[#This Row],[Pf_h]]))</f>
        <v>-4.2648907939238399</v>
      </c>
    </row>
    <row r="31" spans="1:11" x14ac:dyDescent="0.25">
      <c r="A31">
        <v>2</v>
      </c>
      <c r="B31">
        <v>1</v>
      </c>
      <c r="C31" t="str" cm="1">
        <f t="array" ref="C31">IF(SUM(FCPunten[[#This Row],[Faalpad_ID]:[Knoop_ID]])&gt;=2,INDEX(FaalpadenGegevenScenario[[Initiele_gebeurtenis]:[Vervolggebeurtenis_7]],FCPunten[[#This Row],[Faalpad_ID]],FCPunten[[#This Row],[Knoop_ID]]),"")</f>
        <v>Klein glijvlak</v>
      </c>
      <c r="D31">
        <v>3</v>
      </c>
      <c r="F31">
        <v>4</v>
      </c>
      <c r="G31">
        <f>IF(FCPunten[[#This Row],[Beta_h]]="","",_xlfn.NORM.S.DIST(-1*FCPunten[[#This Row],[Beta_h]],TRUE))</f>
        <v>3.1671241833119857E-5</v>
      </c>
      <c r="H31" s="17" t="str">
        <f>IF(FCPunten[[#This Row],[Pf_h]]="", "",-_xlfn.NORM.S.INV(FCPunten[[#This Row],[Pf_h]]))</f>
        <v/>
      </c>
    </row>
    <row r="32" spans="1:11" x14ac:dyDescent="0.25">
      <c r="A32">
        <v>2</v>
      </c>
      <c r="B32">
        <v>1</v>
      </c>
      <c r="C32" t="str" cm="1">
        <f t="array" ref="C32">IF(SUM(FCPunten[[#This Row],[Faalpad_ID]:[Knoop_ID]])&gt;=2,INDEX(FaalpadenGegevenScenario[[Initiele_gebeurtenis]:[Vervolggebeurtenis_7]],FCPunten[[#This Row],[Faalpad_ID]],FCPunten[[#This Row],[Knoop_ID]]),"")</f>
        <v>Klein glijvlak</v>
      </c>
      <c r="D32">
        <v>4</v>
      </c>
      <c r="F32">
        <v>3</v>
      </c>
      <c r="G32">
        <f>IF(FCPunten[[#This Row],[Beta_h]]="","",_xlfn.NORM.S.DIST(-1*FCPunten[[#This Row],[Beta_h]],TRUE))</f>
        <v>1.3498980316300933E-3</v>
      </c>
      <c r="H32" s="17" t="str">
        <f>IF(FCPunten[[#This Row],[Pf_h]]="", "",-_xlfn.NORM.S.INV(FCPunten[[#This Row],[Pf_h]]))</f>
        <v/>
      </c>
    </row>
    <row r="33" spans="1:8" x14ac:dyDescent="0.25">
      <c r="A33">
        <v>2</v>
      </c>
      <c r="B33">
        <v>1</v>
      </c>
      <c r="C33" t="str" cm="1">
        <f t="array" ref="C33">IF(SUM(FCPunten[[#This Row],[Faalpad_ID]:[Knoop_ID]])&gt;=2,INDEX(FaalpadenGegevenScenario[[Initiele_gebeurtenis]:[Vervolggebeurtenis_7]],FCPunten[[#This Row],[Faalpad_ID]],FCPunten[[#This Row],[Knoop_ID]]),"")</f>
        <v>Klein glijvlak</v>
      </c>
      <c r="D33">
        <v>5</v>
      </c>
      <c r="F33">
        <v>2</v>
      </c>
      <c r="G33">
        <f>IF(FCPunten[[#This Row],[Beta_h]]="","",_xlfn.NORM.S.DIST(-1*FCPunten[[#This Row],[Beta_h]],TRUE))</f>
        <v>2.2750131948179191E-2</v>
      </c>
      <c r="H33" s="17" t="str">
        <f>IF(FCPunten[[#This Row],[Pf_h]]="", "",-_xlfn.NORM.S.INV(FCPunten[[#This Row],[Pf_h]]))</f>
        <v/>
      </c>
    </row>
    <row r="34" spans="1:8" x14ac:dyDescent="0.25">
      <c r="A34">
        <v>2</v>
      </c>
      <c r="B34">
        <v>2</v>
      </c>
      <c r="C34" t="str" cm="1">
        <f t="array" ref="C34">IF(SUM(FCPunten[[#This Row],[Faalpad_ID]:[Knoop_ID]])&gt;=2,INDEX(FaalpadenGegevenScenario[[Initiele_gebeurtenis]:[Vervolggebeurtenis_7]],FCPunten[[#This Row],[Faalpad_ID]],FCPunten[[#This Row],[Knoop_ID]]),"")</f>
        <v>vervolgmechanisme</v>
      </c>
      <c r="D34">
        <v>3</v>
      </c>
      <c r="E34">
        <v>0.01</v>
      </c>
      <c r="G34" t="str">
        <f>IF(FCPunten[[#This Row],[Beta_h]]="","",_xlfn.NORM.S.DIST(-1*FCPunten[[#This Row],[Beta_h]],TRUE))</f>
        <v/>
      </c>
      <c r="H34" s="17">
        <f>IF(FCPunten[[#This Row],[Pf_h]]="", "",-_xlfn.NORM.S.INV(FCPunten[[#This Row],[Pf_h]]))</f>
        <v>2.3263478740408408</v>
      </c>
    </row>
    <row r="35" spans="1:8" x14ac:dyDescent="0.25">
      <c r="A35">
        <v>2</v>
      </c>
      <c r="B35">
        <v>2</v>
      </c>
      <c r="C35" t="str" cm="1">
        <f t="array" ref="C35">IF(SUM(FCPunten[[#This Row],[Faalpad_ID]:[Knoop_ID]])&gt;=2,INDEX(FaalpadenGegevenScenario[[Initiele_gebeurtenis]:[Vervolggebeurtenis_7]],FCPunten[[#This Row],[Faalpad_ID]],FCPunten[[#This Row],[Knoop_ID]]),"")</f>
        <v>vervolgmechanisme</v>
      </c>
      <c r="D35">
        <v>4</v>
      </c>
      <c r="E35">
        <v>0.1</v>
      </c>
      <c r="G35" t="str">
        <f>IF(FCPunten[[#This Row],[Beta_h]]="","",_xlfn.NORM.S.DIST(-1*FCPunten[[#This Row],[Beta_h]],TRUE))</f>
        <v/>
      </c>
      <c r="H35" s="17">
        <f>IF(FCPunten[[#This Row],[Pf_h]]="", "",-_xlfn.NORM.S.INV(FCPunten[[#This Row],[Pf_h]]))</f>
        <v>1.2815515655446006</v>
      </c>
    </row>
    <row r="36" spans="1:8" x14ac:dyDescent="0.25">
      <c r="A36">
        <v>2</v>
      </c>
      <c r="B36">
        <v>2</v>
      </c>
      <c r="C36" t="str" cm="1">
        <f t="array" ref="C36">IF(SUM(FCPunten[[#This Row],[Faalpad_ID]:[Knoop_ID]])&gt;=2,INDEX(FaalpadenGegevenScenario[[Initiele_gebeurtenis]:[Vervolggebeurtenis_7]],FCPunten[[#This Row],[Faalpad_ID]],FCPunten[[#This Row],[Knoop_ID]]),"")</f>
        <v>vervolgmechanisme</v>
      </c>
      <c r="D36">
        <v>5</v>
      </c>
      <c r="E36">
        <v>0.99999000000000005</v>
      </c>
      <c r="G36" t="str">
        <f>IF(FCPunten[[#This Row],[Beta_h]]="","",_xlfn.NORM.S.DIST(-1*FCPunten[[#This Row],[Beta_h]],TRUE))</f>
        <v/>
      </c>
      <c r="H36" s="17">
        <f>IF(FCPunten[[#This Row],[Pf_h]]="", "",-_xlfn.NORM.S.INV(FCPunten[[#This Row],[Pf_h]]))</f>
        <v>-4.2648907939238399</v>
      </c>
    </row>
    <row r="37" spans="1:8" x14ac:dyDescent="0.25">
      <c r="A37">
        <v>2</v>
      </c>
      <c r="B37">
        <v>3</v>
      </c>
      <c r="C37" t="str" cm="1">
        <f t="array" ref="C37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7">
        <v>3</v>
      </c>
      <c r="E37">
        <v>0.5</v>
      </c>
      <c r="G37" t="str">
        <f>IF(FCPunten[[#This Row],[Beta_h]]="","",_xlfn.NORM.S.DIST(-1*FCPunten[[#This Row],[Beta_h]],TRUE))</f>
        <v/>
      </c>
      <c r="H37" s="17">
        <f>IF(FCPunten[[#This Row],[Pf_h]]="", "",-_xlfn.NORM.S.INV(FCPunten[[#This Row],[Pf_h]]))</f>
        <v>0</v>
      </c>
    </row>
    <row r="38" spans="1:8" x14ac:dyDescent="0.25">
      <c r="A38">
        <v>2</v>
      </c>
      <c r="B38">
        <v>3</v>
      </c>
      <c r="C38" t="str" cm="1">
        <f t="array" ref="C38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8">
        <v>5</v>
      </c>
      <c r="E38">
        <v>0.99999000000000005</v>
      </c>
      <c r="G38" t="str">
        <f>IF(FCPunten[[#This Row],[Beta_h]]="","",_xlfn.NORM.S.DIST(-1*FCPunten[[#This Row],[Beta_h]],TRUE))</f>
        <v/>
      </c>
      <c r="H38" s="17">
        <f>IF(FCPunten[[#This Row],[Pf_h]]="", "",-_xlfn.NORM.S.INV(FCPunten[[#This Row],[Pf_h]]))</f>
        <v>-4.2648907939238399</v>
      </c>
    </row>
    <row r="39" spans="1:8" x14ac:dyDescent="0.25">
      <c r="A39">
        <v>3</v>
      </c>
      <c r="B39">
        <v>1</v>
      </c>
      <c r="C39" t="str" cm="1">
        <f t="array" ref="C39">IF(SUM(FCPunten[[#This Row],[Faalpad_ID]:[Knoop_ID]])&gt;=2,INDEX(FaalpadenGegevenScenario[[Initiele_gebeurtenis]:[Vervolggebeurtenis_7]],FCPunten[[#This Row],[Faalpad_ID]],FCPunten[[#This Row],[Knoop_ID]]),"")</f>
        <v>Groot glijvlak | dierlijke graverij</v>
      </c>
      <c r="D39">
        <v>3</v>
      </c>
      <c r="F39">
        <v>4</v>
      </c>
      <c r="G39">
        <f>IF(FCPunten[[#This Row],[Beta_h]]="","",_xlfn.NORM.S.DIST(-1*FCPunten[[#This Row],[Beta_h]],TRUE))</f>
        <v>3.1671241833119857E-5</v>
      </c>
      <c r="H39" s="17" t="str">
        <f>IF(FCPunten[[#This Row],[Pf_h]]="", "",-_xlfn.NORM.S.INV(FCPunten[[#This Row],[Pf_h]]))</f>
        <v/>
      </c>
    </row>
    <row r="40" spans="1:8" x14ac:dyDescent="0.25">
      <c r="A40">
        <v>3</v>
      </c>
      <c r="B40">
        <v>1</v>
      </c>
      <c r="C40" t="str" cm="1">
        <f t="array" ref="C40">IF(SUM(FCPunten[[#This Row],[Faalpad_ID]:[Knoop_ID]])&gt;=2,INDEX(FaalpadenGegevenScenario[[Initiele_gebeurtenis]:[Vervolggebeurtenis_7]],FCPunten[[#This Row],[Faalpad_ID]],FCPunten[[#This Row],[Knoop_ID]]),"")</f>
        <v>Groot glijvlak | dierlijke graverij</v>
      </c>
      <c r="D40">
        <v>4</v>
      </c>
      <c r="F40">
        <v>3</v>
      </c>
      <c r="G40">
        <f>IF(FCPunten[[#This Row],[Beta_h]]="","",_xlfn.NORM.S.DIST(-1*FCPunten[[#This Row],[Beta_h]],TRUE))</f>
        <v>1.3498980316300933E-3</v>
      </c>
      <c r="H40" s="17" t="str">
        <f>IF(FCPunten[[#This Row],[Pf_h]]="", "",-_xlfn.NORM.S.INV(FCPunten[[#This Row],[Pf_h]]))</f>
        <v/>
      </c>
    </row>
    <row r="41" spans="1:8" x14ac:dyDescent="0.25">
      <c r="A41">
        <v>3</v>
      </c>
      <c r="B41">
        <v>1</v>
      </c>
      <c r="C41" t="str" cm="1">
        <f t="array" ref="C41">IF(SUM(FCPunten[[#This Row],[Faalpad_ID]:[Knoop_ID]])&gt;=2,INDEX(FaalpadenGegevenScenario[[Initiele_gebeurtenis]:[Vervolggebeurtenis_7]],FCPunten[[#This Row],[Faalpad_ID]],FCPunten[[#This Row],[Knoop_ID]]),"")</f>
        <v>Groot glijvlak | dierlijke graverij</v>
      </c>
      <c r="D41">
        <v>5</v>
      </c>
      <c r="F41">
        <v>2</v>
      </c>
      <c r="G41">
        <f>IF(FCPunten[[#This Row],[Beta_h]]="","",_xlfn.NORM.S.DIST(-1*FCPunten[[#This Row],[Beta_h]],TRUE))</f>
        <v>2.2750131948179191E-2</v>
      </c>
      <c r="H41" s="17" t="str">
        <f>IF(FCPunten[[#This Row],[Pf_h]]="", "",-_xlfn.NORM.S.INV(FCPunten[[#This Row],[Pf_h]]))</f>
        <v/>
      </c>
    </row>
    <row r="42" spans="1:8" x14ac:dyDescent="0.25">
      <c r="A42">
        <v>3</v>
      </c>
      <c r="B42">
        <v>2</v>
      </c>
      <c r="C42" t="str" cm="1">
        <f t="array" ref="C42">IF(SUM(FCPunten[[#This Row],[Faalpad_ID]:[Knoop_ID]])&gt;=2,INDEX(FaalpadenGegevenScenario[[Initiele_gebeurtenis]:[Vervolggebeurtenis_7]],FCPunten[[#This Row],[Faalpad_ID]],FCPunten[[#This Row],[Knoop_ID]]),"")</f>
        <v>Kruindaling zodanig dat overstroming optreedt | dierlijke graverij</v>
      </c>
      <c r="D42">
        <v>3</v>
      </c>
      <c r="E42">
        <v>0.5</v>
      </c>
      <c r="G42" t="str">
        <f>IF(FCPunten[[#This Row],[Beta_h]]="","",_xlfn.NORM.S.DIST(-1*FCPunten[[#This Row],[Beta_h]],TRUE))</f>
        <v/>
      </c>
      <c r="H42" s="17">
        <f>IF(FCPunten[[#This Row],[Pf_h]]="", "",-_xlfn.NORM.S.INV(FCPunten[[#This Row],[Pf_h]]))</f>
        <v>0</v>
      </c>
    </row>
    <row r="43" spans="1:8" x14ac:dyDescent="0.25">
      <c r="A43">
        <v>3</v>
      </c>
      <c r="B43">
        <v>2</v>
      </c>
      <c r="C43" t="str" cm="1">
        <f t="array" ref="C43">IF(SUM(FCPunten[[#This Row],[Faalpad_ID]:[Knoop_ID]])&gt;=2,INDEX(FaalpadenGegevenScenario[[Initiele_gebeurtenis]:[Vervolggebeurtenis_7]],FCPunten[[#This Row],[Faalpad_ID]],FCPunten[[#This Row],[Knoop_ID]]),"")</f>
        <v>Kruindaling zodanig dat overstroming optreedt | dierlijke graverij</v>
      </c>
      <c r="D43">
        <v>4</v>
      </c>
      <c r="E43">
        <v>0.99999000000000005</v>
      </c>
      <c r="G43" t="str">
        <f>IF(FCPunten[[#This Row],[Beta_h]]="","",_xlfn.NORM.S.DIST(-1*FCPunten[[#This Row],[Beta_h]],TRUE))</f>
        <v/>
      </c>
      <c r="H43" s="17">
        <f>IF(FCPunten[[#This Row],[Pf_h]]="", "",-_xlfn.NORM.S.INV(FCPunten[[#This Row],[Pf_h]]))</f>
        <v>-4.2648907939238399</v>
      </c>
    </row>
    <row r="44" spans="1:8" x14ac:dyDescent="0.25">
      <c r="C44" t="str" cm="1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7" t="str">
        <f>IF(FCPunten[[#This Row],[Pf_h]]="", "",-_xlfn.NORM.S.INV(FCPunten[[#This Row],[Pf_h]]))</f>
        <v/>
      </c>
    </row>
    <row r="45" spans="1:8" x14ac:dyDescent="0.25">
      <c r="C45" t="str" cm="1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7" t="str">
        <f>IF(FCPunten[[#This Row],[Pf_h]]="", "",-_xlfn.NORM.S.INV(FCPunten[[#This Row],[Pf_h]]))</f>
        <v/>
      </c>
    </row>
    <row r="46" spans="1:8" x14ac:dyDescent="0.25">
      <c r="C46" t="str" cm="1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7" t="str">
        <f>IF(FCPunten[[#This Row],[Pf_h]]="", "",-_xlfn.NORM.S.INV(FCPunten[[#This Row],[Pf_h]]))</f>
        <v/>
      </c>
    </row>
    <row r="47" spans="1:8" x14ac:dyDescent="0.25">
      <c r="G47" t="str">
        <f>IF(FCPunten[[#This Row],[Beta_h]]="","",_xlfn.NORM.S.DIST(-1*FCPunten[[#This Row],[Beta_h]],TRUE))</f>
        <v/>
      </c>
      <c r="H47" s="17" t="str">
        <f>IF(FCPunten[[#This Row],[Pf_h]]="", "",-_xlfn.NORM.S.INV(FCPunten[[#This Row],[Pf_h]]))</f>
        <v/>
      </c>
    </row>
    <row r="48" spans="1:8" x14ac:dyDescent="0.25">
      <c r="G48" t="str">
        <f>IF(FCPunten[[#This Row],[Beta_h]]="","",_xlfn.NORM.S.DIST(-1*FCPunten[[#This Row],[Beta_h]],TRUE))</f>
        <v/>
      </c>
      <c r="H48" s="17" t="str">
        <f>IF(FCPunten[[#This Row],[Pf_h]]="", "",-_xlfn.NORM.S.INV(FCPunten[[#This Row],[Pf_h]]))</f>
        <v/>
      </c>
    </row>
    <row r="49" spans="3:8" x14ac:dyDescent="0.25">
      <c r="C49" t="str" cm="1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7" t="str">
        <f>IF(FCPunten[[#This Row],[Pf_h]]="", "",-_xlfn.NORM.S.INV(FCPunten[[#This Row],[Pf_h]]))</f>
        <v/>
      </c>
    </row>
    <row r="50" spans="3:8" x14ac:dyDescent="0.25">
      <c r="C50" t="str" cm="1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7" t="str">
        <f>IF(FCPunten[[#This Row],[Pf_h]]="", "",-_xlfn.NORM.S.INV(FCPunten[[#This Row],[Pf_h]]))</f>
        <v/>
      </c>
    </row>
    <row r="51" spans="3:8" x14ac:dyDescent="0.25">
      <c r="C51" t="str" cm="1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7" t="str">
        <f>IF(FCPunten[[#This Row],[Pf_h]]="", "",-_xlfn.NORM.S.INV(FCPunten[[#This Row],[Pf_h]]))</f>
        <v/>
      </c>
    </row>
    <row r="52" spans="3:8" x14ac:dyDescent="0.25">
      <c r="C52" t="str" cm="1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7" t="str">
        <f>IF(FCPunten[[#This Row],[Pf_h]]="", "",-_xlfn.NORM.S.INV(FCPunten[[#This Row],[Pf_h]]))</f>
        <v/>
      </c>
    </row>
    <row r="53" spans="3:8" x14ac:dyDescent="0.25">
      <c r="C53" t="str" cm="1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7" t="str">
        <f>IF(FCPunten[[#This Row],[Pf_h]]="", "",-_xlfn.NORM.S.INV(FCPunten[[#This Row],[Pf_h]]))</f>
        <v/>
      </c>
    </row>
    <row r="54" spans="3:8" x14ac:dyDescent="0.25">
      <c r="C54" t="str" cm="1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7" t="str">
        <f>IF(FCPunten[[#This Row],[Pf_h]]="", "",-_xlfn.NORM.S.INV(FCPunten[[#This Row],[Pf_h]]))</f>
        <v/>
      </c>
    </row>
    <row r="55" spans="3:8" x14ac:dyDescent="0.25">
      <c r="C55" t="str" cm="1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7" t="str">
        <f>IF(FCPunten[[#This Row],[Pf_h]]="", "",-_xlfn.NORM.S.INV(FCPunten[[#This Row],[Pf_h]]))</f>
        <v/>
      </c>
    </row>
    <row r="56" spans="3:8" x14ac:dyDescent="0.25">
      <c r="C56" t="str" cm="1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7" t="str">
        <f>IF(FCPunten[[#This Row],[Pf_h]]="", "",-_xlfn.NORM.S.INV(FCPunten[[#This Row],[Pf_h]]))</f>
        <v/>
      </c>
    </row>
    <row r="57" spans="3:8" x14ac:dyDescent="0.25">
      <c r="C57" t="str" cm="1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7" t="str">
        <f>IF(FCPunten[[#This Row],[Pf_h]]="", "",-_xlfn.NORM.S.INV(FCPunten[[#This Row],[Pf_h]]))</f>
        <v/>
      </c>
    </row>
    <row r="58" spans="3:8" x14ac:dyDescent="0.25">
      <c r="C58" t="str" cm="1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7" t="str">
        <f>IF(FCPunten[[#This Row],[Pf_h]]="", "",-_xlfn.NORM.S.INV(FCPunten[[#This Row],[Pf_h]]))</f>
        <v/>
      </c>
    </row>
    <row r="59" spans="3:8" x14ac:dyDescent="0.25">
      <c r="C59" t="str" cm="1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7" t="str">
        <f>IF(FCPunten[[#This Row],[Pf_h]]="", "",-_xlfn.NORM.S.INV(FCPunten[[#This Row],[Pf_h]]))</f>
        <v/>
      </c>
    </row>
    <row r="60" spans="3:8" x14ac:dyDescent="0.25">
      <c r="C60" t="str" cm="1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7" t="str">
        <f>IF(FCPunten[[#This Row],[Pf_h]]="", "",-_xlfn.NORM.S.INV(FCPunten[[#This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4AFC-FBDB-4219-8395-2E0D7C3338C5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4">
        <v>0</v>
      </c>
    </row>
    <row r="3" spans="1:2" x14ac:dyDescent="0.25">
      <c r="A3" s="13"/>
      <c r="B3" s="14"/>
    </row>
    <row r="4" spans="1:2" x14ac:dyDescent="0.25">
      <c r="A4" s="13"/>
      <c r="B4" s="14"/>
    </row>
    <row r="5" spans="1:2" x14ac:dyDescent="0.25">
      <c r="A5" s="13"/>
      <c r="B5" s="14"/>
    </row>
    <row r="6" spans="1:2" x14ac:dyDescent="0.25">
      <c r="A6" s="13"/>
      <c r="B6" s="14"/>
    </row>
    <row r="7" spans="1:2" x14ac:dyDescent="0.25">
      <c r="A7" s="15"/>
      <c r="B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47D-6BF3-46B8-ABC6-464DCDFC1905}">
  <dimension ref="A1:B7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8">
        <v>0</v>
      </c>
    </row>
    <row r="3" spans="1:2" x14ac:dyDescent="0.25">
      <c r="A3" s="13">
        <v>2</v>
      </c>
      <c r="B3" s="18">
        <v>0</v>
      </c>
    </row>
    <row r="4" spans="1:2" x14ac:dyDescent="0.25">
      <c r="A4" s="13">
        <v>2.1</v>
      </c>
      <c r="B4" s="18">
        <v>9.9999999999999995E-7</v>
      </c>
    </row>
    <row r="5" spans="1:2" x14ac:dyDescent="0.25">
      <c r="A5" s="13">
        <v>3</v>
      </c>
      <c r="B5" s="18">
        <v>1.0000000000000001E-5</v>
      </c>
    </row>
    <row r="6" spans="1:2" x14ac:dyDescent="0.25">
      <c r="A6" s="13">
        <v>4</v>
      </c>
      <c r="B6" s="18">
        <v>1E-4</v>
      </c>
    </row>
    <row r="7" spans="1:2" x14ac:dyDescent="0.25">
      <c r="A7" s="15">
        <v>5</v>
      </c>
      <c r="B7" s="19">
        <v>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6" ma:contentTypeDescription="WSRL Document CB" ma:contentTypeScope="" ma:versionID="88fe53b6e98c5417adee0db248f913ae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d69b3a9fc9dd1d280a5efa296263df0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bc03d-db26-4301-8719-99148ee26221">
      <Terms xmlns="http://schemas.microsoft.com/office/infopath/2007/PartnerControls"/>
    </lcf76f155ced4ddcb4097134ff3c332f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TaxCatchAll xmlns="338e11dd-9b15-475b-8471-fcb79439c886">
      <Value>2</Value>
      <Value>1</Value>
    </TaxCatchAll>
    <_dlc_DocId xmlns="338e11dd-9b15-475b-8471-fcb79439c886">CBPJ-627581585-33370</_dlc_DocId>
    <_dlc_DocIdUrl xmlns="338e11dd-9b15-475b-8471-fcb79439c886">
      <Url>https://wsrlnl.sharepoint.com/sites/CBPR-ydjk6ItuUw/_layouts/15/DocIdRedir.aspx?ID=CBPJ-627581585-33370</Url>
      <Description>CBPJ-627581585-33370</Description>
    </_dlc_DocIdUrl>
  </documentManagement>
</p:properties>
</file>

<file path=customXml/itemProps1.xml><?xml version="1.0" encoding="utf-8"?>
<ds:datastoreItem xmlns:ds="http://schemas.openxmlformats.org/officeDocument/2006/customXml" ds:itemID="{78F48322-4FD1-4D94-BEE5-6BE781D24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8CF7A-8662-4303-935C-7BE86E2888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691F1F7-72B1-41D9-8657-9C07AFE6A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A96AA6-3687-4803-9D38-8F86AB3B850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338e11dd-9b15-475b-8471-fcb79439c886"/>
    <ds:schemaRef ds:uri="http://purl.org/dc/elements/1.1/"/>
    <ds:schemaRef ds:uri="http://schemas.microsoft.com/office/infopath/2007/PartnerControls"/>
    <ds:schemaRef ds:uri="edfbc03d-db26-4301-8719-99148ee2622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Kapinga, Sander</dc:creator>
  <cp:keywords/>
  <dc:description/>
  <cp:lastModifiedBy>Kapinga, Sander</cp:lastModifiedBy>
  <cp:revision/>
  <dcterms:created xsi:type="dcterms:W3CDTF">2025-11-27T16:28:33Z</dcterms:created>
  <dcterms:modified xsi:type="dcterms:W3CDTF">2026-07-21T13:22:10Z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98f0346b-1cf1-43d0-8db8-03c5d5175aa4</vt:lpwstr>
  </property>
</Properties>
</file>